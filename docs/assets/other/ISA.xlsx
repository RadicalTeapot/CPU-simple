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3EE10511-7BC9-42E3-A5D9-19D838FC5AF6}" xr6:coauthVersionLast="47" xr6:coauthVersionMax="47" xr10:uidLastSave="{00000000-0000-0000-0000-000000000000}"/>
  <bookViews>
    <workbookView xWindow="-132" yWindow="-132" windowWidth="23304" windowHeight="13944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X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<sst xmlns="http://schemas.openxmlformats.org/spreadsheetml/2006/main" count="457" uniqueCount="159">
  <si>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</si>
  <si>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</si>
  <si>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</si>
  <si>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</si>
  <si>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</si>
  <si>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</si>
  <si>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</si>
  <si>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</si>
  <si>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</si>
  <si>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</si>
  <si>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</si>
  <si>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</si>
  <si>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</si>
  <si>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</si>
  <si>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</si>
  <si>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</si>
  <si>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</si>
  <si>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</si>
  <si>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</si>
  <si>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</si>
  <si>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</si>
  <si>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</si>
  <si>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</si>
  <si>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</si>
  <si>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</si>
  <si>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</si>
  <si>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</si>
  <si>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</si>
  <si>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</si>
  <si>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</si>
  <si>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</si>
  <si>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</si>
  <si>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</si>
  <si>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</si>
  <si>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</si>
  <si>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</si>
  <si>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</si>
  <si>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</si>
  <si>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</si>
  <si>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</si>
  <si>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</si>
  <si>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</si>
  <si>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</si>
  <si>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</si>
  <si>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</si>
  <si>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</si>
  <si>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</si>
  <si>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</si>
  <si>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</si>
  <si>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</si>
  <si>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</si>
  <si>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</si>
  <si>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</si>
  <si>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</si>
  <si>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</si>
  <si>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</si>
  <si>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</si>
  <si>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</si>
  <si>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</si>
  <si>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</si>
  <si>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</si>
  <si>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</si>
  <si>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</si>
  <si>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</si>
  <si>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</si>
  <si>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</si>
  <si>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</si>
  <si>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</si>
  <si>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</si>
  <si>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</si>
  <si>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</si>
  <si>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</si>
  <si>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</si>
  <si>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</si>
  <si>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</si>
  <si>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</si>
  <si>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</si>
  <si>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</si>
  <si>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</si>
  <si>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</si>
  <si>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</si>
  <si>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</si>
  <si>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</si>
  <si>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</si>
  <si>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</si>
  <si>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</si>
  <si>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</si>
  <si>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</si>
  <si>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</si>
  <si>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</si>
  <si>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</si>
  <si>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</si>
  <si>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</si>
  <si>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</si>
  <si>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</si>
  <si>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</si>
  <si>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</si>
  <si>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</si>
  <si>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</si>
  <si>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</si>
  <si>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</si>
  <si>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</si>
  <si>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</si>
  <si>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</si>
  <si>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</si>
  <si>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</si>
  <si>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</si>
  <si>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</si>
  <si>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</si>
  <si>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</si>
  <si>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</si>
  <si>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</si>
  <si>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</si>
  <si>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</si>
  <si>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</si>
  <si>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</si>
  <si>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</si>
  <si>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</si>
  <si>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</si>
  <si>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</si>
  <si>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</si>
  <si>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</si>
  <si>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</si>
  <si>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</si>
  <si>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</si>
  <si>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</si>
  <si>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</si>
  <si>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</si>
  <si>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</si>
  <si>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</si>
  <si>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</si>
  <si>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</si>
  <si>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</si>
  <si>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</si>
  <si>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</si>
  <si>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</si>
  <si>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</si>
  <si>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</si>
  <si>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</si>
  <si>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</si>
  <si>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</si>
  <si>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</si>
  <si>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</si>
  <si>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</si>
  <si>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</si>
  <si>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</si>
  <si>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</si>
  <si>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</si>
  <si>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</si>
  <si>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</si>
  <si>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</si>
  <si>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</si>
  <si>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</si>
  <si>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</si>
  <si>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</si>
  <si>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</si>
  <si>
    <t>PSH</t>
  </si>
  <si>
    <t>PEK</t>
  </si>
  <si>
    <t>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</si>
</sst>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17" borderId="12" xfId="0" applyFill="1" applyBorder="1"/>
    <xf numFmtId="0" fontId="0" fillId="0" borderId="19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0" xfId="0" applyBorder="1"/>
    <xf numFmtId="0" fontId="0" fillId="0" borderId="36" xfId="0" applyBorder="1"/>
    <xf numFmtId="0" fontId="0" fillId="0" borderId="18" xfId="0" applyBorder="1"/>
    <xf numFmtId="0" fontId="0" fillId="0" borderId="35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29" xfId="0" applyBorder="1"/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topLeftCell="A36" zoomScale="114" zoomScaleNormal="114" workbookViewId="0">
      <selection activeCell="Z55" sqref="Z55"/>
    </sheetView>
  </sheetViews>
  <sheetFormatPr defaultRowHeight="14.5" x14ac:dyDescent="0.35"/>
  <cols>
    <col min="1" max="1" width="4.54296875" customWidth="1"/>
    <col min="2" max="2" width="15" customWidth="1"/>
    <col min="3" max="3" width="9.54296875" customWidth="1"/>
    <col min="4" max="11" width="3.81640625" customWidth="1"/>
    <col min="12" max="12" width="7" customWidth="1"/>
    <col min="13" max="13" width="5" customWidth="1"/>
    <col min="14" max="14" width="7.1796875" customWidth="1"/>
    <col min="15" max="15" width="5.81640625" customWidth="1"/>
    <col min="16" max="16" width="5.453125" customWidth="1"/>
    <col min="17" max="17" width="5.1796875" bestFit="1" customWidth="1"/>
    <col min="18" max="18" width="32" hidden="1" customWidth="1"/>
    <col min="19" max="19" width="87.08984375" hidden="1" customWidth="1"/>
    <col min="20" max="20" width="1" customWidth="1"/>
    <col min="21" max="21" width="17.36328125" customWidth="1"/>
    <col min="22" max="22" width="0.90625" customWidth="1"/>
    <col min="23" max="23" width="11.81640625" bestFit="1" customWidth="1"/>
    <col min="24" max="24" width="6.90625" customWidth="1"/>
    <col min="25" max="25" width="1" customWidth="1"/>
    <col min="31" max="31" width="14.54296875" customWidth="1"/>
    <col min="32" max="32" width="44.1796875" customWidth="1"/>
  </cols>
  <sheetData>
    <row r="1" spans="2:37" ht="15" thickBot="1" x14ac:dyDescent="0.4"/>
    <row r="2" spans="2:37" ht="15" thickBot="1" x14ac:dyDescent="0.4">
      <c r="D2" s="81" t="s">
        <v>1</v>
      </c>
      <c r="E2" s="82"/>
      <c r="F2" s="82"/>
      <c r="G2" s="82"/>
      <c r="H2" s="82"/>
      <c r="I2" s="82"/>
      <c r="J2" s="82"/>
      <c r="K2" s="83"/>
    </row>
    <row r="3" spans="2:37" ht="15" customHeight="1" thickBot="1" x14ac:dyDescent="0.4">
      <c r="B3" s="29" t="s">
        <v>68</v>
      </c>
      <c r="C3" s="30" t="s">
        <v>66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67</v>
      </c>
      <c r="O3" s="33" t="s">
        <v>72</v>
      </c>
      <c r="P3" s="33" t="s">
        <v>71</v>
      </c>
      <c r="Q3" s="29" t="s">
        <v>143</v>
      </c>
      <c r="R3" s="72" t="s">
        <v>89</v>
      </c>
      <c r="S3" s="73" t="s">
        <v>90</v>
      </c>
      <c r="T3" s="12"/>
      <c r="U3" s="29" t="s">
        <v>81</v>
      </c>
      <c r="W3" s="72" t="s">
        <v>70</v>
      </c>
      <c r="X3" s="80" t="str">
        <f>_xlfn.TEXTJOIN("/",TRUE,TEXT(COUNTIF(W4:W55,1),"0"), TEXT(COUNTIF(W4:W55,"&gt;=0"),"0"))</f>
        <v>46/46</v>
      </c>
      <c r="Z3" s="72" t="s">
        <v>158</v>
      </c>
      <c r="AA3" s="80" t="str">
        <f>_xlfn.TEXTJOIN("/",TRUE,TEXT(COUNTIF(Z4:Z55,1),"0"), TEXT(COUNTIF(Z4:Z55,"&gt;=0"),"0"))</f>
        <v>46/46</v>
      </c>
      <c r="AK3" t="s">
        <v>88</v>
      </c>
    </row>
    <row r="4" spans="2:37" ht="15" customHeight="1" x14ac:dyDescent="0.35">
      <c r="B4" s="86" t="s">
        <v>54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79</v>
      </c>
      <c r="Q4" s="71" t="s">
        <v>88</v>
      </c>
      <c r="R4" s="74" t="s">
        <v>94</v>
      </c>
      <c r="S4" s="75"/>
      <c r="T4" s="12"/>
      <c r="U4" s="22" t="s">
        <v>82</v>
      </c>
      <c r="W4" s="62">
        <v>1</v>
      </c>
      <c r="Z4" s="62">
        <v>1</v>
      </c>
      <c r="AK4" t="s">
        <v>88</v>
      </c>
    </row>
    <row r="5" spans="2:37" ht="15" customHeight="1" x14ac:dyDescent="0.35">
      <c r="B5" s="87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79</v>
      </c>
      <c r="Q5" s="69" t="s">
        <v>88</v>
      </c>
      <c r="R5" s="76" t="s">
        <v>95</v>
      </c>
      <c r="S5" s="77"/>
      <c r="T5" s="12"/>
      <c r="U5" s="23" t="s">
        <v>83</v>
      </c>
      <c r="W5" s="14">
        <v>1</v>
      </c>
      <c r="Z5" s="14">
        <v>1</v>
      </c>
      <c r="AK5" t="s">
        <v>88</v>
      </c>
    </row>
    <row r="6" spans="2:37" ht="15" customHeight="1" x14ac:dyDescent="0.35">
      <c r="B6" s="87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79</v>
      </c>
      <c r="Q6" s="69" t="s">
        <v>91</v>
      </c>
      <c r="R6" s="76" t="s">
        <v>96</v>
      </c>
      <c r="S6" s="77"/>
      <c r="T6" s="12"/>
      <c r="U6" s="24" t="s">
        <v>84</v>
      </c>
      <c r="W6" s="14">
        <v>1</v>
      </c>
      <c r="Z6" s="14">
        <v>1</v>
      </c>
      <c r="AK6" t="s">
        <v>88</v>
      </c>
    </row>
    <row r="7" spans="2:37" ht="15" customHeight="1" x14ac:dyDescent="0.35">
      <c r="B7" s="87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79</v>
      </c>
      <c r="Q7" s="69" t="s">
        <v>91</v>
      </c>
      <c r="R7" s="76" t="s">
        <v>97</v>
      </c>
      <c r="S7" s="77"/>
      <c r="T7" s="12"/>
      <c r="U7" s="25" t="s">
        <v>85</v>
      </c>
      <c r="W7" s="14">
        <v>1</v>
      </c>
      <c r="Z7" s="14">
        <v>1</v>
      </c>
      <c r="AK7" t="s">
        <v>88</v>
      </c>
    </row>
    <row r="8" spans="2:37" ht="15" customHeight="1" x14ac:dyDescent="0.35">
      <c r="B8" s="87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79</v>
      </c>
      <c r="Q8" s="69" t="s">
        <v>92</v>
      </c>
      <c r="R8" s="76" t="s">
        <v>98</v>
      </c>
      <c r="S8" s="77"/>
      <c r="T8" s="12"/>
      <c r="U8" s="26" t="s">
        <v>86</v>
      </c>
      <c r="W8" s="14">
        <v>1</v>
      </c>
      <c r="Z8" s="14">
        <v>1</v>
      </c>
      <c r="AK8" t="s">
        <v>88</v>
      </c>
    </row>
    <row r="9" spans="2:37" ht="15" customHeight="1" x14ac:dyDescent="0.35">
      <c r="B9" s="87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79</v>
      </c>
      <c r="Q9" s="69" t="s">
        <v>92</v>
      </c>
      <c r="R9" s="76" t="s">
        <v>99</v>
      </c>
      <c r="S9" s="77"/>
      <c r="T9" s="12"/>
      <c r="U9" s="27" t="s">
        <v>87</v>
      </c>
      <c r="W9" s="14">
        <v>1</v>
      </c>
      <c r="Z9" s="14">
        <v>1</v>
      </c>
      <c r="AK9" t="s">
        <v>88</v>
      </c>
    </row>
    <row r="10" spans="2:37" ht="15" customHeight="1" x14ac:dyDescent="0.35">
      <c r="B10" s="87"/>
      <c r="C10" s="15" t="s">
        <v>4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79</v>
      </c>
      <c r="Q10" s="69" t="s">
        <v>88</v>
      </c>
      <c r="R10" s="76"/>
      <c r="S10" s="77"/>
      <c r="T10" s="12"/>
      <c r="U10" s="28" t="s">
        <v>50</v>
      </c>
      <c r="W10" s="15"/>
      <c r="Z10" s="15"/>
      <c r="AK10" t="s">
        <v>88</v>
      </c>
    </row>
    <row r="11" spans="2:37" ht="15" customHeight="1" thickBot="1" x14ac:dyDescent="0.4">
      <c r="B11" s="88"/>
      <c r="C11" s="15" t="s">
        <v>4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79</v>
      </c>
      <c r="Q11" s="69" t="s">
        <v>88</v>
      </c>
      <c r="R11" s="76"/>
      <c r="S11" s="77"/>
      <c r="T11" s="12"/>
      <c r="U11" s="63" t="s">
        <v>49</v>
      </c>
      <c r="W11" s="15"/>
      <c r="Z11" s="15"/>
      <c r="AK11" t="s">
        <v>88</v>
      </c>
    </row>
    <row r="12" spans="2:37" ht="15" customHeight="1" x14ac:dyDescent="0.35">
      <c r="B12" s="89" t="s">
        <v>53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79</v>
      </c>
      <c r="Q12" s="69" t="s">
        <v>88</v>
      </c>
      <c r="R12" s="76" t="s">
        <v>100</v>
      </c>
      <c r="S12" s="77" t="s">
        <v>153</v>
      </c>
      <c r="T12" s="12"/>
      <c r="U12" s="64"/>
      <c r="W12" s="14">
        <v>1</v>
      </c>
      <c r="Z12" s="14">
        <v>1</v>
      </c>
      <c r="AK12" t="s">
        <v>88</v>
      </c>
    </row>
    <row r="13" spans="2:37" ht="15" customHeight="1" x14ac:dyDescent="0.35">
      <c r="B13" s="90"/>
      <c r="C13" s="15" t="s">
        <v>4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24</v>
      </c>
      <c r="M13" s="14">
        <f t="shared" si="0"/>
        <v>1</v>
      </c>
      <c r="N13" s="60" t="str" cm="1">
        <f t="array" ref="N13">DEC2HEX(SUMPRODUCT(D13:K13,2^($D$3:$K$3)),2)</f>
        <v>09</v>
      </c>
      <c r="O13" s="47">
        <v>8</v>
      </c>
      <c r="P13" s="42" t="s">
        <v>79</v>
      </c>
      <c r="Q13" s="69" t="s">
        <v>88</v>
      </c>
      <c r="R13" s="76"/>
      <c r="S13" s="77"/>
      <c r="T13" s="12"/>
      <c r="W13" s="15"/>
      <c r="Z13" s="15"/>
      <c r="AK13" t="s">
        <v>88</v>
      </c>
    </row>
    <row r="14" spans="2:37" ht="15" customHeight="1" x14ac:dyDescent="0.35">
      <c r="B14" s="90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79</v>
      </c>
      <c r="Q14" s="69" t="s">
        <v>88</v>
      </c>
      <c r="R14" s="76" t="s">
        <v>101</v>
      </c>
      <c r="S14" s="77"/>
      <c r="T14" s="12"/>
      <c r="W14" s="14">
        <v>1</v>
      </c>
      <c r="Z14" s="14">
        <v>1</v>
      </c>
      <c r="AK14" t="s">
        <v>88</v>
      </c>
    </row>
    <row r="15" spans="2:37" ht="15" customHeight="1" x14ac:dyDescent="0.35">
      <c r="B15" s="90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79</v>
      </c>
      <c r="Q15" s="69" t="s">
        <v>88</v>
      </c>
      <c r="R15" s="76" t="s">
        <v>102</v>
      </c>
      <c r="S15" s="77"/>
      <c r="T15" s="12"/>
      <c r="W15" s="14">
        <v>1</v>
      </c>
      <c r="Z15" s="14">
        <v>1</v>
      </c>
      <c r="AK15" t="s">
        <v>88</v>
      </c>
    </row>
    <row r="16" spans="2:37" ht="15" customHeight="1" x14ac:dyDescent="0.35">
      <c r="B16" s="90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79</v>
      </c>
      <c r="Q16" s="69" t="s">
        <v>88</v>
      </c>
      <c r="R16" s="76" t="s">
        <v>103</v>
      </c>
      <c r="S16" s="77"/>
      <c r="T16" s="12"/>
      <c r="W16" s="14">
        <v>1</v>
      </c>
      <c r="Z16" s="14">
        <v>1</v>
      </c>
      <c r="AK16" t="s">
        <v>88</v>
      </c>
    </row>
    <row r="17" spans="2:37" ht="15" customHeight="1" x14ac:dyDescent="0.35">
      <c r="B17" s="90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79</v>
      </c>
      <c r="Q17" s="69" t="s">
        <v>88</v>
      </c>
      <c r="R17" s="76" t="s">
        <v>104</v>
      </c>
      <c r="S17" s="77"/>
      <c r="T17" s="12"/>
      <c r="W17" s="14">
        <v>1</v>
      </c>
      <c r="Z17" s="14">
        <v>1</v>
      </c>
      <c r="AK17" t="s">
        <v>88</v>
      </c>
    </row>
    <row r="18" spans="2:37" ht="15" customHeight="1" x14ac:dyDescent="0.35">
      <c r="B18" s="90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79</v>
      </c>
      <c r="Q18" s="69" t="s">
        <v>88</v>
      </c>
      <c r="R18" s="76" t="s">
        <v>152</v>
      </c>
      <c r="S18" s="77" t="s">
        <v>150</v>
      </c>
      <c r="T18" s="12"/>
      <c r="W18" s="14">
        <v>1</v>
      </c>
      <c r="Z18" s="14">
        <v>1</v>
      </c>
      <c r="AK18" t="s">
        <v>88</v>
      </c>
    </row>
    <row r="19" spans="2:37" ht="15" customHeight="1" x14ac:dyDescent="0.35">
      <c r="B19" s="91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79</v>
      </c>
      <c r="Q19" s="69" t="s">
        <v>88</v>
      </c>
      <c r="R19" s="76" t="s">
        <v>151</v>
      </c>
      <c r="S19" s="77" t="s">
        <v>105</v>
      </c>
      <c r="T19" s="12"/>
      <c r="W19" s="14">
        <v>1</v>
      </c>
      <c r="Z19" s="14">
        <v>1</v>
      </c>
      <c r="AK19" t="s">
        <v>88</v>
      </c>
    </row>
    <row r="20" spans="2:37" ht="15" customHeight="1" x14ac:dyDescent="0.35">
      <c r="B20" s="85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80</v>
      </c>
      <c r="Q20" s="69" t="s">
        <v>88</v>
      </c>
      <c r="R20" s="76" t="s">
        <v>106</v>
      </c>
      <c r="S20" s="77"/>
      <c r="T20" s="12"/>
      <c r="W20" s="14">
        <v>1</v>
      </c>
      <c r="Z20" s="14">
        <v>1</v>
      </c>
      <c r="AK20" t="s">
        <v>88</v>
      </c>
    </row>
    <row r="21" spans="2:37" ht="15" customHeight="1" x14ac:dyDescent="0.35">
      <c r="B21" s="85"/>
      <c r="C21" s="14" t="s">
        <v>155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80</v>
      </c>
      <c r="Q21" s="69" t="s">
        <v>88</v>
      </c>
      <c r="R21" s="76" t="s">
        <v>107</v>
      </c>
      <c r="S21" s="77"/>
      <c r="T21" s="12"/>
      <c r="W21" s="14">
        <v>1</v>
      </c>
      <c r="Z21" s="14">
        <v>1</v>
      </c>
      <c r="AK21" t="s">
        <v>88</v>
      </c>
    </row>
    <row r="22" spans="2:37" ht="15" customHeight="1" x14ac:dyDescent="0.35">
      <c r="B22" s="85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80</v>
      </c>
      <c r="Q22" s="69" t="s">
        <v>88</v>
      </c>
      <c r="R22" s="76" t="s">
        <v>108</v>
      </c>
      <c r="S22" s="77"/>
      <c r="T22" s="12"/>
      <c r="W22" s="14">
        <v>1</v>
      </c>
      <c r="Z22" s="14">
        <v>1</v>
      </c>
      <c r="AK22" t="s">
        <v>88</v>
      </c>
    </row>
    <row r="23" spans="2:37" ht="15" customHeight="1" x14ac:dyDescent="0.35">
      <c r="B23" s="85"/>
      <c r="C23" s="14" t="s">
        <v>157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7" t="s">
        <v>19</v>
      </c>
      <c r="K23" s="20" t="s">
        <v>19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80</v>
      </c>
      <c r="Q23" s="69" t="s">
        <v>88</v>
      </c>
      <c r="R23" s="76"/>
      <c r="S23" s="77"/>
      <c r="T23" s="12"/>
      <c r="W23" s="15">
        <v>1</v>
      </c>
      <c r="Z23" s="15">
        <v>1</v>
      </c>
      <c r="AK23" t="s">
        <v>88</v>
      </c>
    </row>
    <row r="24" spans="2:37" ht="15" customHeight="1" x14ac:dyDescent="0.35">
      <c r="B24" s="84" t="s">
        <v>25</v>
      </c>
      <c r="C24" s="15" t="s">
        <v>4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3" t="s">
        <v>4</v>
      </c>
      <c r="K24" s="17" t="s">
        <v>4</v>
      </c>
      <c r="L24" s="56" t="s">
        <v>24</v>
      </c>
      <c r="M24" s="14">
        <f t="shared" si="0"/>
        <v>1</v>
      </c>
      <c r="N24" s="60" t="str" cm="1">
        <f t="array" ref="N24">DEC2HEX(SUMPRODUCT(D24:K24,2^($D$3:$K$3)),2)</f>
        <v>20</v>
      </c>
      <c r="O24" s="49">
        <v>20</v>
      </c>
      <c r="P24" s="42" t="s">
        <v>80</v>
      </c>
      <c r="Q24" s="69" t="s">
        <v>88</v>
      </c>
      <c r="R24" s="76"/>
      <c r="S24" s="77"/>
      <c r="T24" s="12"/>
      <c r="W24" s="15"/>
      <c r="Z24" s="15"/>
      <c r="AK24" t="s">
        <v>88</v>
      </c>
    </row>
    <row r="25" spans="2:37" ht="15" customHeight="1" x14ac:dyDescent="0.35">
      <c r="B25" s="84"/>
      <c r="C25" s="14" t="s">
        <v>154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80</v>
      </c>
      <c r="Q25" s="69" t="s">
        <v>88</v>
      </c>
      <c r="R25" s="76" t="s">
        <v>109</v>
      </c>
      <c r="S25" s="77"/>
      <c r="T25" s="12"/>
      <c r="W25" s="14">
        <v>1</v>
      </c>
      <c r="Z25" s="14">
        <v>1</v>
      </c>
      <c r="AK25" t="s">
        <v>88</v>
      </c>
    </row>
    <row r="26" spans="2:37" ht="15" customHeight="1" x14ac:dyDescent="0.35">
      <c r="B26" s="84"/>
      <c r="C26" s="14" t="s">
        <v>156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9" t="s">
        <v>20</v>
      </c>
      <c r="K26" s="21" t="s">
        <v>20</v>
      </c>
      <c r="L26" s="56" t="s">
        <v>24</v>
      </c>
      <c r="M26" s="14">
        <f t="shared" si="0"/>
        <v>1</v>
      </c>
      <c r="N26" s="60" t="str" cm="1">
        <f t="array" ref="N26">DEC2HEX(SUMPRODUCT(D26:K26,2^($D$3:$K$3)),2)</f>
        <v>28</v>
      </c>
      <c r="O26" s="49">
        <v>20</v>
      </c>
      <c r="P26" s="42" t="s">
        <v>80</v>
      </c>
      <c r="Q26" s="69" t="s">
        <v>88</v>
      </c>
      <c r="R26" s="76" t="s">
        <v>110</v>
      </c>
      <c r="S26" s="77"/>
      <c r="T26" s="12"/>
      <c r="W26" s="14">
        <v>1</v>
      </c>
      <c r="Z26" s="14">
        <v>1</v>
      </c>
      <c r="AK26" t="s">
        <v>88</v>
      </c>
    </row>
    <row r="27" spans="2:37" ht="15" customHeight="1" x14ac:dyDescent="0.35">
      <c r="B27" s="84"/>
      <c r="C27" s="15" t="s">
        <v>4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3" t="s">
        <v>4</v>
      </c>
      <c r="K27" s="17" t="s">
        <v>4</v>
      </c>
      <c r="L27" s="56" t="s">
        <v>24</v>
      </c>
      <c r="M27" s="14">
        <f t="shared" si="0"/>
        <v>1</v>
      </c>
      <c r="N27" s="60" t="str" cm="1">
        <f t="array" ref="N27">DEC2HEX(SUMPRODUCT(D27:K27,2^($D$3:$K$3)),2)</f>
        <v>2C</v>
      </c>
      <c r="O27" s="49">
        <v>20</v>
      </c>
      <c r="P27" s="42" t="s">
        <v>80</v>
      </c>
      <c r="Q27" s="69" t="s">
        <v>88</v>
      </c>
      <c r="R27" s="76"/>
      <c r="S27" s="77"/>
      <c r="T27" s="12"/>
      <c r="W27" s="15"/>
      <c r="Z27" s="15"/>
      <c r="AK27" t="s">
        <v>88</v>
      </c>
    </row>
    <row r="28" spans="2:37" ht="15" customHeight="1" x14ac:dyDescent="0.35">
      <c r="B28" s="36" t="s">
        <v>51</v>
      </c>
      <c r="C28" s="14" t="s">
        <v>26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78</v>
      </c>
      <c r="Q28" s="69" t="s">
        <v>88</v>
      </c>
      <c r="R28" s="76" t="s">
        <v>111</v>
      </c>
      <c r="S28" s="77"/>
      <c r="T28" s="12"/>
      <c r="W28" s="14">
        <v>1</v>
      </c>
      <c r="Z28" s="14">
        <v>1</v>
      </c>
      <c r="AK28" t="s">
        <v>88</v>
      </c>
    </row>
    <row r="29" spans="2:37" ht="15" customHeight="1" x14ac:dyDescent="0.35">
      <c r="B29" s="94" t="s">
        <v>55</v>
      </c>
      <c r="C29" s="14" t="s">
        <v>34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80</v>
      </c>
      <c r="Q29" s="69" t="s">
        <v>93</v>
      </c>
      <c r="R29" s="76" t="s">
        <v>112</v>
      </c>
      <c r="S29" s="77" t="s">
        <v>133</v>
      </c>
      <c r="T29" s="12"/>
      <c r="W29" s="14">
        <v>1</v>
      </c>
      <c r="Z29" s="14">
        <v>1</v>
      </c>
      <c r="AK29" t="s">
        <v>88</v>
      </c>
    </row>
    <row r="30" spans="2:37" ht="15" customHeight="1" x14ac:dyDescent="0.35">
      <c r="B30" s="94"/>
      <c r="C30" s="14" t="s">
        <v>35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80</v>
      </c>
      <c r="Q30" s="69" t="s">
        <v>93</v>
      </c>
      <c r="R30" s="76" t="s">
        <v>113</v>
      </c>
      <c r="S30" s="77" t="s">
        <v>131</v>
      </c>
      <c r="T30" s="12"/>
      <c r="W30" s="14">
        <v>1</v>
      </c>
      <c r="Z30" s="14">
        <v>1</v>
      </c>
      <c r="AK30" t="s">
        <v>88</v>
      </c>
    </row>
    <row r="31" spans="2:37" ht="15" customHeight="1" x14ac:dyDescent="0.35">
      <c r="B31" s="94"/>
      <c r="C31" s="14" t="s">
        <v>36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80</v>
      </c>
      <c r="Q31" s="69" t="s">
        <v>93</v>
      </c>
      <c r="R31" s="76" t="s">
        <v>114</v>
      </c>
      <c r="S31" s="77" t="s">
        <v>134</v>
      </c>
      <c r="T31" s="12"/>
      <c r="W31" s="14">
        <v>1</v>
      </c>
      <c r="Z31" s="14">
        <v>1</v>
      </c>
      <c r="AK31" t="s">
        <v>88</v>
      </c>
    </row>
    <row r="32" spans="2:37" ht="15" customHeight="1" x14ac:dyDescent="0.35">
      <c r="B32" s="94"/>
      <c r="C32" s="14" t="s">
        <v>37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80</v>
      </c>
      <c r="Q32" s="69" t="s">
        <v>93</v>
      </c>
      <c r="R32" s="76" t="s">
        <v>115</v>
      </c>
      <c r="S32" s="77" t="s">
        <v>135</v>
      </c>
      <c r="T32" s="12"/>
      <c r="W32" s="14">
        <v>1</v>
      </c>
      <c r="Z32" s="14">
        <v>1</v>
      </c>
      <c r="AK32" t="s">
        <v>88</v>
      </c>
    </row>
    <row r="33" spans="2:37" ht="15" customHeight="1" x14ac:dyDescent="0.35">
      <c r="B33" s="95" t="s">
        <v>56</v>
      </c>
      <c r="C33" s="14" t="s">
        <v>31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78</v>
      </c>
      <c r="Q33" s="69" t="s">
        <v>93</v>
      </c>
      <c r="R33" s="76" t="s">
        <v>116</v>
      </c>
      <c r="S33" s="77" t="s">
        <v>132</v>
      </c>
      <c r="T33" s="12"/>
      <c r="W33" s="14">
        <v>1</v>
      </c>
      <c r="Z33" s="14">
        <v>1</v>
      </c>
      <c r="AK33" t="s">
        <v>88</v>
      </c>
    </row>
    <row r="34" spans="2:37" ht="15" customHeight="1" x14ac:dyDescent="0.35">
      <c r="B34" s="95"/>
      <c r="C34" s="14" t="s">
        <v>32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78</v>
      </c>
      <c r="Q34" s="69" t="s">
        <v>93</v>
      </c>
      <c r="R34" s="76" t="s">
        <v>117</v>
      </c>
      <c r="S34" s="77" t="s">
        <v>136</v>
      </c>
      <c r="T34" s="12"/>
      <c r="W34" s="14">
        <v>1</v>
      </c>
      <c r="Z34" s="14">
        <v>1</v>
      </c>
      <c r="AK34" t="s">
        <v>88</v>
      </c>
    </row>
    <row r="35" spans="2:37" ht="15" customHeight="1" x14ac:dyDescent="0.35">
      <c r="B35" s="96" t="s">
        <v>62</v>
      </c>
      <c r="C35" s="14" t="s">
        <v>29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80</v>
      </c>
      <c r="Q35" s="69" t="s">
        <v>93</v>
      </c>
      <c r="R35" s="76" t="s">
        <v>137</v>
      </c>
      <c r="S35" s="77" t="s">
        <v>142</v>
      </c>
      <c r="T35" s="12"/>
      <c r="W35" s="14">
        <v>1</v>
      </c>
      <c r="Z35" s="14">
        <v>1</v>
      </c>
      <c r="AK35" t="s">
        <v>88</v>
      </c>
    </row>
    <row r="36" spans="2:37" ht="15" customHeight="1" x14ac:dyDescent="0.35">
      <c r="B36" s="96"/>
      <c r="C36" s="14" t="s">
        <v>30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80</v>
      </c>
      <c r="Q36" s="69" t="s">
        <v>93</v>
      </c>
      <c r="R36" s="76" t="s">
        <v>138</v>
      </c>
      <c r="S36" s="77" t="s">
        <v>142</v>
      </c>
      <c r="T36" s="12"/>
      <c r="W36" s="14">
        <v>1</v>
      </c>
      <c r="Z36" s="14">
        <v>1</v>
      </c>
      <c r="AK36" t="s">
        <v>88</v>
      </c>
    </row>
    <row r="37" spans="2:37" ht="15" customHeight="1" x14ac:dyDescent="0.35">
      <c r="B37" s="96"/>
      <c r="C37" s="14" t="s">
        <v>60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80</v>
      </c>
      <c r="Q37" s="69" t="s">
        <v>92</v>
      </c>
      <c r="R37" s="76" t="s">
        <v>139</v>
      </c>
      <c r="S37" s="77" t="s">
        <v>141</v>
      </c>
      <c r="T37" s="12"/>
      <c r="W37" s="14">
        <v>1</v>
      </c>
      <c r="Z37" s="14">
        <v>1</v>
      </c>
      <c r="AK37" t="s">
        <v>88</v>
      </c>
    </row>
    <row r="38" spans="2:37" ht="15" customHeight="1" x14ac:dyDescent="0.35">
      <c r="B38" s="96"/>
      <c r="C38" s="14" t="s">
        <v>61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80</v>
      </c>
      <c r="Q38" s="69" t="s">
        <v>92</v>
      </c>
      <c r="R38" s="76" t="s">
        <v>140</v>
      </c>
      <c r="S38" s="77" t="s">
        <v>141</v>
      </c>
      <c r="T38" s="12"/>
      <c r="W38" s="14">
        <v>1</v>
      </c>
      <c r="Z38" s="14">
        <v>1</v>
      </c>
      <c r="AK38" t="s">
        <v>88</v>
      </c>
    </row>
    <row r="39" spans="2:37" ht="15" customHeight="1" x14ac:dyDescent="0.35">
      <c r="B39" s="97" t="s">
        <v>57</v>
      </c>
      <c r="C39" s="14" t="s">
        <v>40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80</v>
      </c>
      <c r="Q39" s="69" t="s">
        <v>93</v>
      </c>
      <c r="R39" s="76" t="s">
        <v>144</v>
      </c>
      <c r="S39" s="77" t="s">
        <v>147</v>
      </c>
      <c r="T39" s="12"/>
      <c r="W39" s="14">
        <v>1</v>
      </c>
      <c r="Z39" s="14">
        <v>1</v>
      </c>
      <c r="AK39" t="s">
        <v>88</v>
      </c>
    </row>
    <row r="40" spans="2:37" ht="15" customHeight="1" x14ac:dyDescent="0.35">
      <c r="B40" s="97"/>
      <c r="C40" s="14" t="s">
        <v>41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80</v>
      </c>
      <c r="Q40" s="69" t="s">
        <v>93</v>
      </c>
      <c r="R40" s="76" t="s">
        <v>145</v>
      </c>
      <c r="S40" s="77" t="s">
        <v>148</v>
      </c>
      <c r="T40" s="12"/>
      <c r="W40" s="14">
        <v>1</v>
      </c>
      <c r="Z40" s="14">
        <v>1</v>
      </c>
      <c r="AK40" t="s">
        <v>88</v>
      </c>
    </row>
    <row r="41" spans="2:37" ht="15" customHeight="1" x14ac:dyDescent="0.35">
      <c r="B41" s="97"/>
      <c r="C41" s="14" t="s">
        <v>42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80</v>
      </c>
      <c r="Q41" s="69" t="s">
        <v>92</v>
      </c>
      <c r="R41" s="76" t="s">
        <v>118</v>
      </c>
      <c r="S41" s="77"/>
      <c r="T41" s="12"/>
      <c r="W41" s="14">
        <v>1</v>
      </c>
      <c r="Z41" s="14">
        <v>1</v>
      </c>
      <c r="AK41" t="s">
        <v>88</v>
      </c>
    </row>
    <row r="42" spans="2:37" ht="15" customHeight="1" x14ac:dyDescent="0.35">
      <c r="B42" s="97"/>
      <c r="C42" s="14" t="s">
        <v>43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80</v>
      </c>
      <c r="Q42" s="69" t="s">
        <v>92</v>
      </c>
      <c r="R42" s="76" t="s">
        <v>119</v>
      </c>
      <c r="S42" s="77"/>
      <c r="T42" s="12"/>
      <c r="W42" s="14">
        <v>1</v>
      </c>
      <c r="Z42" s="14">
        <v>1</v>
      </c>
      <c r="AK42" t="s">
        <v>88</v>
      </c>
    </row>
    <row r="43" spans="2:37" ht="15" customHeight="1" x14ac:dyDescent="0.35">
      <c r="B43" s="35" t="s">
        <v>52</v>
      </c>
      <c r="C43" s="14" t="s">
        <v>33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78</v>
      </c>
      <c r="Q43" s="69" t="s">
        <v>93</v>
      </c>
      <c r="R43" s="76" t="s">
        <v>146</v>
      </c>
      <c r="S43" s="77" t="s">
        <v>149</v>
      </c>
      <c r="T43" s="12"/>
      <c r="W43" s="14">
        <v>1</v>
      </c>
      <c r="Z43" s="14">
        <v>1</v>
      </c>
      <c r="AK43" t="s">
        <v>88</v>
      </c>
    </row>
    <row r="44" spans="2:37" ht="15" customHeight="1" x14ac:dyDescent="0.35">
      <c r="B44" s="36" t="s">
        <v>27</v>
      </c>
      <c r="C44" s="14" t="s">
        <v>27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73</v>
      </c>
      <c r="P44" s="42" t="s">
        <v>78</v>
      </c>
      <c r="Q44" s="69" t="s">
        <v>92</v>
      </c>
      <c r="R44" s="76" t="s">
        <v>120</v>
      </c>
      <c r="S44" s="77"/>
      <c r="T44" s="12"/>
      <c r="W44" s="14">
        <v>1</v>
      </c>
      <c r="Z44" s="14">
        <v>1</v>
      </c>
      <c r="AK44" t="s">
        <v>88</v>
      </c>
    </row>
    <row r="45" spans="2:37" ht="15" customHeight="1" x14ac:dyDescent="0.35">
      <c r="B45" s="94" t="s">
        <v>58</v>
      </c>
      <c r="C45" s="14" t="s">
        <v>44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74</v>
      </c>
      <c r="P45" s="42" t="s">
        <v>80</v>
      </c>
      <c r="Q45" s="69" t="s">
        <v>92</v>
      </c>
      <c r="R45" s="76" t="s">
        <v>121</v>
      </c>
      <c r="S45" s="77"/>
      <c r="T45" s="12"/>
      <c r="W45" s="14">
        <v>1</v>
      </c>
      <c r="Z45" s="14">
        <v>1</v>
      </c>
      <c r="AK45" t="s">
        <v>88</v>
      </c>
    </row>
    <row r="46" spans="2:37" ht="15" customHeight="1" x14ac:dyDescent="0.35">
      <c r="B46" s="94"/>
      <c r="C46" s="14" t="s">
        <v>45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74</v>
      </c>
      <c r="P46" s="42" t="s">
        <v>80</v>
      </c>
      <c r="Q46" s="69" t="s">
        <v>92</v>
      </c>
      <c r="R46" s="76" t="s">
        <v>122</v>
      </c>
      <c r="S46" s="77"/>
      <c r="T46" s="12"/>
      <c r="W46" s="14">
        <v>1</v>
      </c>
      <c r="Z46" s="14">
        <v>1</v>
      </c>
      <c r="AK46" t="s">
        <v>88</v>
      </c>
    </row>
    <row r="47" spans="2:37" ht="15" customHeight="1" x14ac:dyDescent="0.35">
      <c r="B47" s="94"/>
      <c r="C47" s="14" t="s">
        <v>46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74</v>
      </c>
      <c r="P47" s="42" t="s">
        <v>80</v>
      </c>
      <c r="Q47" s="69" t="s">
        <v>92</v>
      </c>
      <c r="R47" s="76" t="s">
        <v>123</v>
      </c>
      <c r="S47" s="77"/>
      <c r="T47" s="12"/>
      <c r="W47" s="14">
        <v>1</v>
      </c>
      <c r="Z47" s="14">
        <v>1</v>
      </c>
      <c r="AK47" t="s">
        <v>88</v>
      </c>
    </row>
    <row r="48" spans="2:37" ht="15" customHeight="1" x14ac:dyDescent="0.35">
      <c r="B48" s="94"/>
      <c r="C48" s="14" t="s">
        <v>47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74</v>
      </c>
      <c r="P48" s="42" t="s">
        <v>80</v>
      </c>
      <c r="Q48" s="69" t="s">
        <v>92</v>
      </c>
      <c r="R48" s="76" t="s">
        <v>124</v>
      </c>
      <c r="S48" s="77"/>
      <c r="T48" s="12"/>
      <c r="W48" s="14">
        <v>1</v>
      </c>
      <c r="Z48" s="14">
        <v>1</v>
      </c>
      <c r="AK48" t="s">
        <v>88</v>
      </c>
    </row>
    <row r="49" spans="2:37" ht="15" customHeight="1" x14ac:dyDescent="0.35">
      <c r="B49" s="37" t="s">
        <v>28</v>
      </c>
      <c r="C49" s="14" t="s">
        <v>28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75</v>
      </c>
      <c r="P49" s="42" t="s">
        <v>78</v>
      </c>
      <c r="Q49" s="69" t="s">
        <v>92</v>
      </c>
      <c r="R49" s="76" t="s">
        <v>125</v>
      </c>
      <c r="S49" s="77"/>
      <c r="T49" s="12"/>
      <c r="W49" s="14">
        <v>1</v>
      </c>
      <c r="Z49" s="14">
        <v>1</v>
      </c>
      <c r="AK49" t="s">
        <v>88</v>
      </c>
    </row>
    <row r="50" spans="2:37" ht="15" customHeight="1" x14ac:dyDescent="0.35">
      <c r="B50" s="34" t="s">
        <v>48</v>
      </c>
      <c r="C50" s="14" t="s">
        <v>48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76</v>
      </c>
      <c r="P50" s="42" t="s">
        <v>78</v>
      </c>
      <c r="Q50" s="69" t="s">
        <v>92</v>
      </c>
      <c r="R50" s="76" t="s">
        <v>126</v>
      </c>
      <c r="S50" s="77"/>
      <c r="T50" s="12"/>
      <c r="W50" s="14">
        <v>1</v>
      </c>
      <c r="Z50" s="14">
        <v>1</v>
      </c>
      <c r="AK50" t="s">
        <v>88</v>
      </c>
    </row>
    <row r="51" spans="2:37" ht="15" customHeight="1" x14ac:dyDescent="0.35">
      <c r="B51" s="92" t="s">
        <v>65</v>
      </c>
      <c r="C51" s="14" t="s">
        <v>38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77</v>
      </c>
      <c r="P51" s="42" t="s">
        <v>80</v>
      </c>
      <c r="Q51" s="69" t="s">
        <v>92</v>
      </c>
      <c r="R51" s="76" t="s">
        <v>127</v>
      </c>
      <c r="S51" s="77"/>
      <c r="T51" s="12"/>
      <c r="W51" s="14">
        <v>1</v>
      </c>
      <c r="Z51" s="14">
        <v>1</v>
      </c>
      <c r="AK51" t="s">
        <v>88</v>
      </c>
    </row>
    <row r="52" spans="2:37" ht="15" customHeight="1" x14ac:dyDescent="0.35">
      <c r="B52" s="92"/>
      <c r="C52" s="14" t="s">
        <v>39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77</v>
      </c>
      <c r="P52" s="42" t="s">
        <v>80</v>
      </c>
      <c r="Q52" s="69" t="s">
        <v>92</v>
      </c>
      <c r="R52" s="76" t="s">
        <v>128</v>
      </c>
      <c r="S52" s="77"/>
      <c r="T52" s="12"/>
      <c r="W52" s="14">
        <v>1</v>
      </c>
      <c r="Z52" s="14">
        <v>1</v>
      </c>
      <c r="AK52" t="s">
        <v>88</v>
      </c>
    </row>
    <row r="53" spans="2:37" ht="15" customHeight="1" x14ac:dyDescent="0.35">
      <c r="B53" s="93" t="s">
        <v>59</v>
      </c>
      <c r="C53" s="14" t="s">
        <v>63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77</v>
      </c>
      <c r="P53" s="42" t="s">
        <v>80</v>
      </c>
      <c r="Q53" s="69" t="s">
        <v>92</v>
      </c>
      <c r="R53" s="76" t="s">
        <v>129</v>
      </c>
      <c r="S53" s="77"/>
      <c r="T53" s="12"/>
      <c r="W53" s="14">
        <v>1</v>
      </c>
      <c r="Z53" s="14">
        <v>1</v>
      </c>
      <c r="AK53" t="s">
        <v>88</v>
      </c>
    </row>
    <row r="54" spans="2:37" ht="15" customHeight="1" x14ac:dyDescent="0.35">
      <c r="B54" s="93"/>
      <c r="C54" s="14" t="s">
        <v>64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77</v>
      </c>
      <c r="P54" s="42" t="s">
        <v>80</v>
      </c>
      <c r="Q54" s="69" t="s">
        <v>92</v>
      </c>
      <c r="R54" s="76" t="s">
        <v>130</v>
      </c>
      <c r="S54" s="77"/>
      <c r="T54" s="12"/>
      <c r="W54" s="14">
        <v>1</v>
      </c>
      <c r="Z54" s="14">
        <v>1</v>
      </c>
      <c r="AK54" t="s">
        <v>88</v>
      </c>
    </row>
    <row r="55" spans="2:37" ht="15" customHeight="1" thickBot="1" x14ac:dyDescent="0.4">
      <c r="B55" s="38" t="s">
        <v>69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78</v>
      </c>
      <c r="P55" s="42" t="s">
        <v>78</v>
      </c>
      <c r="Q55" s="70" t="s">
        <v>88</v>
      </c>
      <c r="R55" s="78"/>
      <c r="S55" s="79"/>
      <c r="T55" s="12"/>
      <c r="W55" s="39"/>
      <c r="Z55" s="39"/>
      <c r="AK55" t="s">
        <v>88</v>
      </c>
    </row>
  </sheetData>
  <mergeCells count="12">
    <mergeCell ref="B51:B52"/>
    <mergeCell ref="B53:B54"/>
    <mergeCell ref="B29:B32"/>
    <mergeCell ref="B33:B34"/>
    <mergeCell ref="B35:B38"/>
    <mergeCell ref="B39:B42"/>
    <mergeCell ref="B45:B48"/>
    <mergeCell ref="D2:K2"/>
    <mergeCell ref="B24:B27"/>
    <mergeCell ref="B20:B23"/>
    <mergeCell ref="B4:B11"/>
    <mergeCell ref="B12:B19"/>
  </mergeCells>
  <conditionalFormatting sqref="L4:L55">
    <cfRule type="containsText" dxfId="5" priority="2" operator="containsText" text="NA">
      <formula>NOT(ISERROR(SEARCH("NA",L4)))</formula>
    </cfRule>
    <cfRule type="containsText" dxfId="4" priority="3" operator="containsText" text="addr">
      <formula>NOT(ISERROR(SEARCH("addr",L4)))</formula>
    </cfRule>
    <cfRule type="containsText" dxfId="3" priority="9" operator="containsText" text="imm">
      <formula>NOT(ISERROR(SEARCH("imm",L4)))</formula>
    </cfRule>
  </conditionalFormatting>
  <conditionalFormatting sqref="M4:M55">
    <cfRule type="colorScale" priority="4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5" operator="containsText" text="FF">
      <formula>NOT(ISERROR(SEARCH("FF",P4)))</formula>
    </cfRule>
    <cfRule type="containsText" dxfId="1" priority="6" operator="containsText" text="FC">
      <formula>NOT(ISERROR(SEARCH("FC",P4)))</formula>
    </cfRule>
    <cfRule type="containsText" dxfId="0" priority="7" operator="containsText" text="F0">
      <formula>NOT(ISERROR(SEARCH("F0",P4)))</formula>
    </cfRule>
  </conditionalFormatting>
  <conditionalFormatting sqref="W4:W55">
    <cfRule type="colorScale" priority="8">
      <colorScale>
        <cfvo type="num" val="0"/>
        <cfvo type="num" val="1"/>
        <color rgb="FFFF5050"/>
        <color theme="9" tint="0.59999389629810485"/>
      </colorScale>
    </cfRule>
  </conditionalFormatting>
  <conditionalFormatting sqref="Z4:Z55">
    <cfRule type="colorScale" priority="1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2026-01-09T20:52:27Z</dcterms:modified>
</cp:coreProperties>
</file>