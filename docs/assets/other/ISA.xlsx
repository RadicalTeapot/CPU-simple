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as.capdet\AppData\Local\_code\c-sharp\cpu-simple\docs\assets\other\"/>
    </mc:Choice>
  </mc:AlternateContent>
  <xr:revisionPtr revIDLastSave="0" documentId="13_ncr:1_{20CDE1B2-D00B-4BF4-9F91-2BE8FD7FC06A}" xr6:coauthVersionLast="47" xr6:coauthVersionMax="47" xr10:uidLastSave="{00000000-0000-0000-0000-000000000000}"/>
  <bookViews>
    <workbookView xWindow="-108" yWindow="-108" windowWidth="23256" windowHeight="13896" xr2:uid="{627EB5EA-0153-408A-A67D-CE8ACF8A0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N54" i="1" a="1"/>
  <c r="N54" i="1" s="1"/>
  <c r="N53" i="1" a="1"/>
  <c r="N53" i="1" s="1"/>
  <c r="N52" i="1" a="1"/>
  <c r="N52" i="1" s="1"/>
  <c r="N55" i="1" a="1"/>
  <c r="N55" i="1" s="1"/>
  <c r="N51" i="1" a="1"/>
  <c r="N51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34" i="1" a="1"/>
  <c r="N34" i="1" s="1"/>
  <c r="N33" i="1" a="1"/>
  <c r="N33" i="1" s="1"/>
  <c r="N38" i="1" a="1"/>
  <c r="N38" i="1" s="1"/>
  <c r="N37" i="1" a="1"/>
  <c r="N37" i="1" s="1"/>
  <c r="N36" i="1" a="1"/>
  <c r="N36" i="1" s="1"/>
  <c r="N35" i="1" a="1"/>
  <c r="N35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0" i="1" a="1"/>
  <c r="N20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4" i="1" a="1"/>
  <c r="N4" i="1" s="1"/>
  <c r="M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<sst xmlns="http://schemas.openxmlformats.org/spreadsheetml/2006/main" count="456" uniqueCount="157">
  <si>
    <t>Byte 2</t>
  </si>
  <si>
    <t>Byte 1</t>
  </si>
  <si>
    <t>NOP</t>
  </si>
  <si>
    <t>HLT</t>
  </si>
  <si>
    <t>-</t>
  </si>
  <si>
    <t>RET</t>
  </si>
  <si>
    <t>CAL</t>
  </si>
  <si>
    <t>addr</t>
  </si>
  <si>
    <t>JMP</t>
  </si>
  <si>
    <t>JZS</t>
  </si>
  <si>
    <t>JZC</t>
  </si>
  <si>
    <t>JCS</t>
  </si>
  <si>
    <t>JCC</t>
  </si>
  <si>
    <t>Size</t>
  </si>
  <si>
    <t>CLC</t>
  </si>
  <si>
    <t>CLZ</t>
  </si>
  <si>
    <t>SEC</t>
  </si>
  <si>
    <t>SEZ</t>
  </si>
  <si>
    <t>LDI</t>
  </si>
  <si>
    <t>LDR</t>
  </si>
  <si>
    <t>rd</t>
  </si>
  <si>
    <t>rs</t>
  </si>
  <si>
    <t>POP</t>
  </si>
  <si>
    <t>imm</t>
  </si>
  <si>
    <t>LOAD</t>
  </si>
  <si>
    <t>NA</t>
  </si>
  <si>
    <t>PUSH</t>
  </si>
  <si>
    <t>STORE</t>
  </si>
  <si>
    <t>MOV</t>
  </si>
  <si>
    <t>AND</t>
  </si>
  <si>
    <t>OR</t>
  </si>
  <si>
    <t>LSH</t>
  </si>
  <si>
    <t>RSH</t>
  </si>
  <si>
    <t>ADD</t>
  </si>
  <si>
    <t>SUB</t>
  </si>
  <si>
    <t>CMP</t>
  </si>
  <si>
    <t>ADI</t>
  </si>
  <si>
    <t>ADA</t>
  </si>
  <si>
    <t>SBI</t>
  </si>
  <si>
    <t>SBA</t>
  </si>
  <si>
    <t>INC</t>
  </si>
  <si>
    <t>DEC</t>
  </si>
  <si>
    <t>CPI</t>
  </si>
  <si>
    <t>CPA</t>
  </si>
  <si>
    <t>ANI</t>
  </si>
  <si>
    <t>ANA</t>
  </si>
  <si>
    <t>ORI</t>
  </si>
  <si>
    <t>ORA</t>
  </si>
  <si>
    <t>XRI</t>
  </si>
  <si>
    <t>XRA</t>
  </si>
  <si>
    <t>XOR</t>
  </si>
  <si>
    <t>Source register</t>
  </si>
  <si>
    <t>Destination register</t>
  </si>
  <si>
    <t>MOVE</t>
  </si>
  <si>
    <t>COMPARE</t>
  </si>
  <si>
    <t>JUMP</t>
  </si>
  <si>
    <t>SYSTEM</t>
  </si>
  <si>
    <t>SINGLE REGISTER ARITHMETIC</t>
  </si>
  <si>
    <t>MULTI REGISTER ARITHMETIC</t>
  </si>
  <si>
    <t>SINGLE REGISTER LOGIC I</t>
  </si>
  <si>
    <t>SINGLE REGISTER LOGIC II</t>
  </si>
  <si>
    <t>BIT TEST</t>
  </si>
  <si>
    <t>LRT</t>
  </si>
  <si>
    <t>RRT</t>
  </si>
  <si>
    <t>BITS MANIPULATION</t>
  </si>
  <si>
    <t>BTI</t>
  </si>
  <si>
    <t>BTA</t>
  </si>
  <si>
    <t>ATOMIC</t>
  </si>
  <si>
    <t>Mnemonic</t>
  </si>
  <si>
    <t>Opcode</t>
  </si>
  <si>
    <t>Group</t>
  </si>
  <si>
    <t>EXTENSION</t>
  </si>
  <si>
    <t>STR</t>
  </si>
  <si>
    <t>Implemented</t>
  </si>
  <si>
    <t>Mask</t>
  </si>
  <si>
    <t>Base</t>
  </si>
  <si>
    <t>A0</t>
  </si>
  <si>
    <t>B0</t>
  </si>
  <si>
    <t>C0</t>
  </si>
  <si>
    <t>D0</t>
  </si>
  <si>
    <t>E0</t>
  </si>
  <si>
    <t>F0</t>
  </si>
  <si>
    <t>FF</t>
  </si>
  <si>
    <t>FC</t>
  </si>
  <si>
    <t>Bit color codes</t>
  </si>
  <si>
    <t>Carry</t>
  </si>
  <si>
    <t>Zero</t>
  </si>
  <si>
    <t>Clear</t>
  </si>
  <si>
    <t>Set</t>
  </si>
  <si>
    <t>Immediate</t>
  </si>
  <si>
    <t>Absolute</t>
  </si>
  <si>
    <t/>
  </si>
  <si>
    <t>Function</t>
  </si>
  <si>
    <t>Notes</t>
  </si>
  <si>
    <t>C</t>
  </si>
  <si>
    <t>Z</t>
  </si>
  <si>
    <t>C, Z</t>
  </si>
  <si>
    <t>no operation</t>
  </si>
  <si>
    <t>stops CPU</t>
  </si>
  <si>
    <t>clear carry flag</t>
  </si>
  <si>
    <t>set carry flag</t>
  </si>
  <si>
    <t>clear zero flag</t>
  </si>
  <si>
    <t>set zero flag</t>
  </si>
  <si>
    <t>Jump to address</t>
  </si>
  <si>
    <t>Jump if carry clear</t>
  </si>
  <si>
    <t>Jump if carry set</t>
  </si>
  <si>
    <t>Jump if zero clear</t>
  </si>
  <si>
    <t>Jump if zero set</t>
  </si>
  <si>
    <t>Pop PC from stack</t>
  </si>
  <si>
    <t>Load immediate to register</t>
  </si>
  <si>
    <t>Load address content to register</t>
  </si>
  <si>
    <t>Pop stack to register</t>
  </si>
  <si>
    <t>Store register to address</t>
  </si>
  <si>
    <t>Push register to stack</t>
  </si>
  <si>
    <t>Move source to destination</t>
  </si>
  <si>
    <t>Add immediate to register</t>
  </si>
  <si>
    <t>Add address to register</t>
  </si>
  <si>
    <t>Subtract immediate from register</t>
  </si>
  <si>
    <t>Subtract address from register</t>
  </si>
  <si>
    <t>Add source to destination</t>
  </si>
  <si>
    <t>Subtract source from destination</t>
  </si>
  <si>
    <t>And immediate</t>
  </si>
  <si>
    <t>And address</t>
  </si>
  <si>
    <t>And</t>
  </si>
  <si>
    <t>Or immediate</t>
  </si>
  <si>
    <t>Or address</t>
  </si>
  <si>
    <t>Xor immediate</t>
  </si>
  <si>
    <t>Xor address</t>
  </si>
  <si>
    <t>Or</t>
  </si>
  <si>
    <t>Xor</t>
  </si>
  <si>
    <t>Increment</t>
  </si>
  <si>
    <t>Decrement</t>
  </si>
  <si>
    <t>Z = (rd &amp; imm) == 0 ? 0 : 1</t>
  </si>
  <si>
    <t>Z = (rd &amp; addr) == 0 ? 0 : 1</t>
  </si>
  <si>
    <t>rd + value at address + carry</t>
  </si>
  <si>
    <t>rd = rd + rs + carry</t>
  </si>
  <si>
    <t>rd = rd + imm + carry</t>
  </si>
  <si>
    <t>rd = rd - imm - (1-carry); Set cary flag is no borrow occurred (no borrow carry)</t>
  </si>
  <si>
    <t>rd = rd - value at address - (1-carry); Set cary flag is no borrow occurred (no borrow carry)</t>
  </si>
  <si>
    <t>rd = rd - rs - (1-carry); Set cary flag is no borrow occurred (no borrow carry)</t>
  </si>
  <si>
    <t>Left shift</t>
  </si>
  <si>
    <t>Right shift</t>
  </si>
  <si>
    <t>Rotate left</t>
  </si>
  <si>
    <t>Rotate right</t>
  </si>
  <si>
    <t>Carry unaffected</t>
  </si>
  <si>
    <t>Carry flag set to bit shifted out</t>
  </si>
  <si>
    <t>Flags</t>
  </si>
  <si>
    <t>Compare immediate</t>
  </si>
  <si>
    <t>Compare address</t>
  </si>
  <si>
    <t>Compare</t>
  </si>
  <si>
    <t>Carry flag is set if rd &gt;= imm; Zero flag is set if rd == imm; Sets only flags, not value</t>
  </si>
  <si>
    <t>Carry flag is set if rd &gt;= value at address; Zero flag is set if rd == value at address; Sets only flags, not value</t>
  </si>
  <si>
    <t>Carry flag is set if rd &gt;= rs,; Zero flag is set if rd == rs; Sets only flags, not value</t>
  </si>
  <si>
    <t>Push PC + 2 onto stack</t>
  </si>
  <si>
    <t>Restore PC from stack</t>
  </si>
  <si>
    <t>Store PC in stack and jump to address</t>
  </si>
  <si>
    <t>Doesn't modify the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</si>
</sst>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0\x00;\0\x@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8" borderId="10" xfId="0" applyFill="1" applyBorder="1"/>
    <xf numFmtId="0" fontId="0" fillId="7" borderId="11" xfId="0" applyFill="1" applyBorder="1"/>
    <xf numFmtId="0" fontId="0" fillId="5" borderId="11" xfId="0" applyFill="1" applyBorder="1"/>
    <xf numFmtId="0" fontId="0" fillId="6" borderId="11" xfId="0" applyFill="1" applyBorder="1"/>
    <xf numFmtId="0" fontId="0" fillId="14" borderId="11" xfId="0" applyFill="1" applyBorder="1"/>
    <xf numFmtId="0" fontId="0" fillId="15" borderId="11" xfId="0" applyFill="1" applyBorder="1"/>
    <xf numFmtId="0" fontId="0" fillId="16" borderId="11" xfId="0" applyFill="1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8" borderId="12" xfId="0" applyFill="1" applyBorder="1"/>
    <xf numFmtId="0" fontId="0" fillId="10" borderId="1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18" borderId="4" xfId="0" applyNumberFormat="1" applyFill="1" applyBorder="1" applyAlignment="1">
      <alignment horizontal="center"/>
    </xf>
    <xf numFmtId="164" fontId="0" fillId="18" borderId="8" xfId="0" applyNumberFormat="1" applyFill="1" applyBorder="1" applyAlignment="1">
      <alignment horizontal="center"/>
    </xf>
    <xf numFmtId="164" fontId="0" fillId="13" borderId="4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17" borderId="12" xfId="0" applyFill="1" applyBorder="1"/>
    <xf numFmtId="0" fontId="0" fillId="0" borderId="20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22" xfId="0" applyBorder="1"/>
    <xf numFmtId="0" fontId="0" fillId="0" borderId="38" xfId="0" applyBorder="1"/>
    <xf numFmtId="0" fontId="0" fillId="0" borderId="18" xfId="0" applyBorder="1"/>
    <xf numFmtId="0" fontId="0" fillId="0" borderId="3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9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1" fillId="13" borderId="11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5050"/>
      <color rgb="FFFF66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906C-64AD-4CED-BC8D-ADC11E443218}">
  <dimension ref="B1:AK55"/>
  <sheetViews>
    <sheetView showGridLines="0" tabSelected="1" zoomScale="114" zoomScaleNormal="114" workbookViewId="0">
      <selection activeCell="X6" sqref="X6"/>
    </sheetView>
  </sheetViews>
  <sheetFormatPr defaultRowHeight="14.4" x14ac:dyDescent="0.3"/>
  <cols>
    <col min="1" max="1" width="4.5546875" customWidth="1"/>
    <col min="2" max="2" width="15" customWidth="1"/>
    <col min="3" max="3" width="9.5546875" customWidth="1"/>
    <col min="4" max="11" width="3.77734375" customWidth="1"/>
    <col min="12" max="12" width="7" customWidth="1"/>
    <col min="13" max="13" width="5" customWidth="1"/>
    <col min="14" max="14" width="7.21875" customWidth="1"/>
    <col min="15" max="15" width="5.77734375" customWidth="1"/>
    <col min="16" max="16" width="5.44140625" customWidth="1"/>
    <col min="17" max="17" width="7.44140625" customWidth="1"/>
    <col min="18" max="18" width="32.109375" hidden="1" customWidth="1"/>
    <col min="19" max="19" width="87.109375" hidden="1" customWidth="1"/>
    <col min="20" max="20" width="1" customWidth="1"/>
    <col min="21" max="21" width="17.33203125" customWidth="1"/>
    <col min="22" max="22" width="0.88671875" customWidth="1"/>
    <col min="23" max="23" width="11.77734375" bestFit="1" customWidth="1"/>
    <col min="31" max="31" width="14.5546875" customWidth="1"/>
    <col min="32" max="32" width="44.21875" customWidth="1"/>
  </cols>
  <sheetData>
    <row r="1" spans="2:37" ht="15" thickBot="1" x14ac:dyDescent="0.35"/>
    <row r="2" spans="2:37" ht="15" thickBot="1" x14ac:dyDescent="0.35">
      <c r="D2" s="82" t="s">
        <v>1</v>
      </c>
      <c r="E2" s="83"/>
      <c r="F2" s="83"/>
      <c r="G2" s="83"/>
      <c r="H2" s="83"/>
      <c r="I2" s="83"/>
      <c r="J2" s="83"/>
      <c r="K2" s="84"/>
    </row>
    <row r="3" spans="2:37" ht="15" customHeight="1" thickBot="1" x14ac:dyDescent="0.35">
      <c r="B3" s="29" t="s">
        <v>70</v>
      </c>
      <c r="C3" s="30" t="s">
        <v>68</v>
      </c>
      <c r="D3" s="31">
        <v>7</v>
      </c>
      <c r="E3" s="32">
        <v>6</v>
      </c>
      <c r="F3" s="32">
        <v>5</v>
      </c>
      <c r="G3" s="32">
        <v>4</v>
      </c>
      <c r="H3" s="32">
        <v>3</v>
      </c>
      <c r="I3" s="32">
        <v>2</v>
      </c>
      <c r="J3" s="32">
        <v>1</v>
      </c>
      <c r="K3" s="54">
        <v>0</v>
      </c>
      <c r="L3" s="30" t="s">
        <v>0</v>
      </c>
      <c r="M3" s="30" t="s">
        <v>13</v>
      </c>
      <c r="N3" s="58" t="s">
        <v>69</v>
      </c>
      <c r="O3" s="33" t="s">
        <v>75</v>
      </c>
      <c r="P3" s="33" t="s">
        <v>74</v>
      </c>
      <c r="Q3" s="29" t="s">
        <v>146</v>
      </c>
      <c r="R3" s="72" t="s">
        <v>92</v>
      </c>
      <c r="S3" s="73" t="s">
        <v>93</v>
      </c>
      <c r="T3" s="12"/>
      <c r="U3" s="29" t="s">
        <v>84</v>
      </c>
      <c r="W3" s="29" t="s">
        <v>73</v>
      </c>
      <c r="AK3" t="s">
        <v>91</v>
      </c>
    </row>
    <row r="4" spans="2:37" ht="15" customHeight="1" x14ac:dyDescent="0.3">
      <c r="B4" s="85" t="s">
        <v>56</v>
      </c>
      <c r="C4" s="13" t="s">
        <v>2</v>
      </c>
      <c r="D4" s="65">
        <v>0</v>
      </c>
      <c r="E4" s="46">
        <v>0</v>
      </c>
      <c r="F4" s="46">
        <v>0</v>
      </c>
      <c r="G4" s="46">
        <v>0</v>
      </c>
      <c r="H4" s="46">
        <v>0</v>
      </c>
      <c r="I4" s="2">
        <v>0</v>
      </c>
      <c r="J4" s="2">
        <v>0</v>
      </c>
      <c r="K4" s="16">
        <v>0</v>
      </c>
      <c r="L4" s="55" t="s">
        <v>25</v>
      </c>
      <c r="M4" s="62">
        <f>IF(L4="NA",1,2)</f>
        <v>1</v>
      </c>
      <c r="N4" s="59" t="str" cm="1">
        <f t="array" ref="N4">DEC2HEX(SUMPRODUCT(D4:K4,2^($D$3:$K$3)),2)</f>
        <v>00</v>
      </c>
      <c r="O4" s="44">
        <v>0</v>
      </c>
      <c r="P4" s="43" t="s">
        <v>82</v>
      </c>
      <c r="Q4" s="71" t="s">
        <v>91</v>
      </c>
      <c r="R4" s="74" t="s">
        <v>97</v>
      </c>
      <c r="S4" s="75"/>
      <c r="T4" s="12"/>
      <c r="U4" s="22" t="s">
        <v>85</v>
      </c>
      <c r="W4" s="13">
        <v>1</v>
      </c>
      <c r="AK4" t="s">
        <v>91</v>
      </c>
    </row>
    <row r="5" spans="2:37" ht="15" customHeight="1" x14ac:dyDescent="0.3">
      <c r="B5" s="86"/>
      <c r="C5" s="14" t="s">
        <v>3</v>
      </c>
      <c r="D5" s="66">
        <v>0</v>
      </c>
      <c r="E5" s="10">
        <v>0</v>
      </c>
      <c r="F5" s="10">
        <v>0</v>
      </c>
      <c r="G5" s="10">
        <v>0</v>
      </c>
      <c r="H5" s="10">
        <v>0</v>
      </c>
      <c r="I5" s="3">
        <v>0</v>
      </c>
      <c r="J5" s="3">
        <v>0</v>
      </c>
      <c r="K5" s="17">
        <v>1</v>
      </c>
      <c r="L5" s="56" t="s">
        <v>25</v>
      </c>
      <c r="M5" s="14">
        <f t="shared" ref="M5:M55" si="0">IF(L5="NA",1,2)</f>
        <v>1</v>
      </c>
      <c r="N5" s="60" t="str" cm="1">
        <f t="array" ref="N5">DEC2HEX(SUMPRODUCT(D5:K5,2^($D$3:$K$3)),2)</f>
        <v>01</v>
      </c>
      <c r="O5" s="45">
        <v>0</v>
      </c>
      <c r="P5" s="42" t="s">
        <v>82</v>
      </c>
      <c r="Q5" s="69" t="s">
        <v>91</v>
      </c>
      <c r="R5" s="76" t="s">
        <v>98</v>
      </c>
      <c r="S5" s="77"/>
      <c r="T5" s="12"/>
      <c r="U5" s="23" t="s">
        <v>86</v>
      </c>
      <c r="W5" s="14">
        <v>1</v>
      </c>
      <c r="AK5" t="s">
        <v>91</v>
      </c>
    </row>
    <row r="6" spans="2:37" ht="15" customHeight="1" x14ac:dyDescent="0.3">
      <c r="B6" s="86"/>
      <c r="C6" s="14" t="s">
        <v>14</v>
      </c>
      <c r="D6" s="66">
        <v>0</v>
      </c>
      <c r="E6" s="10">
        <v>0</v>
      </c>
      <c r="F6" s="10">
        <v>0</v>
      </c>
      <c r="G6" s="10">
        <v>0</v>
      </c>
      <c r="H6" s="10">
        <v>0</v>
      </c>
      <c r="I6" s="4">
        <v>0</v>
      </c>
      <c r="J6" s="4">
        <v>1</v>
      </c>
      <c r="K6" s="18">
        <v>0</v>
      </c>
      <c r="L6" s="56" t="s">
        <v>25</v>
      </c>
      <c r="M6" s="14">
        <f t="shared" si="0"/>
        <v>1</v>
      </c>
      <c r="N6" s="60" t="str" cm="1">
        <f t="array" ref="N6">DEC2HEX(SUMPRODUCT(D6:K6,2^($D$3:$K$3)),2)</f>
        <v>02</v>
      </c>
      <c r="O6" s="45">
        <v>0</v>
      </c>
      <c r="P6" s="42" t="s">
        <v>82</v>
      </c>
      <c r="Q6" s="69" t="s">
        <v>94</v>
      </c>
      <c r="R6" s="76" t="s">
        <v>99</v>
      </c>
      <c r="S6" s="77"/>
      <c r="T6" s="12"/>
      <c r="U6" s="24" t="s">
        <v>87</v>
      </c>
      <c r="W6" s="14">
        <v>1</v>
      </c>
      <c r="AK6" t="s">
        <v>91</v>
      </c>
    </row>
    <row r="7" spans="2:37" ht="15" customHeight="1" x14ac:dyDescent="0.3">
      <c r="B7" s="86"/>
      <c r="C7" s="14" t="s">
        <v>16</v>
      </c>
      <c r="D7" s="66">
        <v>0</v>
      </c>
      <c r="E7" s="10">
        <v>0</v>
      </c>
      <c r="F7" s="10">
        <v>0</v>
      </c>
      <c r="G7" s="10">
        <v>0</v>
      </c>
      <c r="H7" s="10">
        <v>0</v>
      </c>
      <c r="I7" s="4">
        <v>0</v>
      </c>
      <c r="J7" s="4">
        <v>1</v>
      </c>
      <c r="K7" s="19">
        <v>1</v>
      </c>
      <c r="L7" s="56" t="s">
        <v>25</v>
      </c>
      <c r="M7" s="14">
        <f t="shared" si="0"/>
        <v>1</v>
      </c>
      <c r="N7" s="60" t="str" cm="1">
        <f t="array" ref="N7">DEC2HEX(SUMPRODUCT(D7:K7,2^($D$3:$K$3)),2)</f>
        <v>03</v>
      </c>
      <c r="O7" s="45">
        <v>0</v>
      </c>
      <c r="P7" s="42" t="s">
        <v>82</v>
      </c>
      <c r="Q7" s="69" t="s">
        <v>94</v>
      </c>
      <c r="R7" s="76" t="s">
        <v>100</v>
      </c>
      <c r="S7" s="77"/>
      <c r="T7" s="12"/>
      <c r="U7" s="25" t="s">
        <v>88</v>
      </c>
      <c r="W7" s="14">
        <v>0</v>
      </c>
      <c r="AK7" t="s">
        <v>91</v>
      </c>
    </row>
    <row r="8" spans="2:37" ht="15" customHeight="1" x14ac:dyDescent="0.3">
      <c r="B8" s="86"/>
      <c r="C8" s="14" t="s">
        <v>15</v>
      </c>
      <c r="D8" s="66">
        <v>0</v>
      </c>
      <c r="E8" s="10">
        <v>0</v>
      </c>
      <c r="F8" s="10">
        <v>0</v>
      </c>
      <c r="G8" s="10">
        <v>0</v>
      </c>
      <c r="H8" s="10">
        <v>0</v>
      </c>
      <c r="I8" s="5">
        <v>1</v>
      </c>
      <c r="J8" s="5">
        <v>0</v>
      </c>
      <c r="K8" s="18">
        <v>0</v>
      </c>
      <c r="L8" s="56" t="s">
        <v>25</v>
      </c>
      <c r="M8" s="14">
        <f t="shared" si="0"/>
        <v>1</v>
      </c>
      <c r="N8" s="60" t="str" cm="1">
        <f t="array" ref="N8">DEC2HEX(SUMPRODUCT(D8:K8,2^($D$3:$K$3)),2)</f>
        <v>04</v>
      </c>
      <c r="O8" s="45">
        <v>0</v>
      </c>
      <c r="P8" s="42" t="s">
        <v>82</v>
      </c>
      <c r="Q8" s="69" t="s">
        <v>95</v>
      </c>
      <c r="R8" s="76" t="s">
        <v>101</v>
      </c>
      <c r="S8" s="77"/>
      <c r="T8" s="12"/>
      <c r="U8" s="26" t="s">
        <v>89</v>
      </c>
      <c r="W8" s="14">
        <v>0</v>
      </c>
      <c r="AK8" t="s">
        <v>91</v>
      </c>
    </row>
    <row r="9" spans="2:37" ht="15" customHeight="1" x14ac:dyDescent="0.3">
      <c r="B9" s="86"/>
      <c r="C9" s="14" t="s">
        <v>17</v>
      </c>
      <c r="D9" s="66">
        <v>0</v>
      </c>
      <c r="E9" s="10">
        <v>0</v>
      </c>
      <c r="F9" s="10">
        <v>0</v>
      </c>
      <c r="G9" s="10">
        <v>0</v>
      </c>
      <c r="H9" s="10">
        <v>0</v>
      </c>
      <c r="I9" s="5">
        <v>1</v>
      </c>
      <c r="J9" s="5">
        <v>0</v>
      </c>
      <c r="K9" s="19">
        <v>1</v>
      </c>
      <c r="L9" s="56" t="s">
        <v>25</v>
      </c>
      <c r="M9" s="14">
        <f t="shared" si="0"/>
        <v>1</v>
      </c>
      <c r="N9" s="60" t="str" cm="1">
        <f t="array" ref="N9">DEC2HEX(SUMPRODUCT(D9:K9,2^($D$3:$K$3)),2)</f>
        <v>05</v>
      </c>
      <c r="O9" s="45">
        <v>0</v>
      </c>
      <c r="P9" s="42" t="s">
        <v>82</v>
      </c>
      <c r="Q9" s="69" t="s">
        <v>95</v>
      </c>
      <c r="R9" s="76" t="s">
        <v>102</v>
      </c>
      <c r="S9" s="77"/>
      <c r="T9" s="12"/>
      <c r="U9" s="27" t="s">
        <v>90</v>
      </c>
      <c r="W9" s="14">
        <v>0</v>
      </c>
      <c r="AK9" t="s">
        <v>91</v>
      </c>
    </row>
    <row r="10" spans="2:37" ht="15" customHeight="1" x14ac:dyDescent="0.3">
      <c r="B10" s="86"/>
      <c r="C10" s="15" t="s">
        <v>4</v>
      </c>
      <c r="D10" s="66">
        <v>0</v>
      </c>
      <c r="E10" s="10">
        <v>0</v>
      </c>
      <c r="F10" s="10">
        <v>0</v>
      </c>
      <c r="G10" s="10">
        <v>0</v>
      </c>
      <c r="H10" s="10">
        <v>0</v>
      </c>
      <c r="I10" s="3">
        <v>1</v>
      </c>
      <c r="J10" s="3">
        <v>1</v>
      </c>
      <c r="K10" s="17">
        <v>0</v>
      </c>
      <c r="L10" s="56" t="s">
        <v>25</v>
      </c>
      <c r="M10" s="14">
        <f t="shared" si="0"/>
        <v>1</v>
      </c>
      <c r="N10" s="60" t="str" cm="1">
        <f t="array" ref="N10">DEC2HEX(SUMPRODUCT(D10:K10,2^($D$3:$K$3)),2)</f>
        <v>06</v>
      </c>
      <c r="O10" s="45">
        <v>0</v>
      </c>
      <c r="P10" s="42" t="s">
        <v>82</v>
      </c>
      <c r="Q10" s="69" t="s">
        <v>91</v>
      </c>
      <c r="R10" s="76"/>
      <c r="S10" s="77"/>
      <c r="T10" s="12"/>
      <c r="U10" s="28" t="s">
        <v>52</v>
      </c>
      <c r="W10" s="15"/>
      <c r="AK10" t="s">
        <v>91</v>
      </c>
    </row>
    <row r="11" spans="2:37" ht="15" customHeight="1" thickBot="1" x14ac:dyDescent="0.35">
      <c r="B11" s="87"/>
      <c r="C11" s="15" t="s">
        <v>4</v>
      </c>
      <c r="D11" s="66">
        <v>0</v>
      </c>
      <c r="E11" s="10">
        <v>0</v>
      </c>
      <c r="F11" s="10">
        <v>0</v>
      </c>
      <c r="G11" s="10">
        <v>0</v>
      </c>
      <c r="H11" s="10">
        <v>0</v>
      </c>
      <c r="I11" s="3">
        <v>1</v>
      </c>
      <c r="J11" s="3">
        <v>1</v>
      </c>
      <c r="K11" s="17">
        <v>1</v>
      </c>
      <c r="L11" s="56" t="s">
        <v>25</v>
      </c>
      <c r="M11" s="14">
        <f t="shared" si="0"/>
        <v>1</v>
      </c>
      <c r="N11" s="60" t="str" cm="1">
        <f t="array" ref="N11">DEC2HEX(SUMPRODUCT(D11:K11,2^($D$3:$K$3)),2)</f>
        <v>07</v>
      </c>
      <c r="O11" s="45">
        <v>0</v>
      </c>
      <c r="P11" s="42" t="s">
        <v>82</v>
      </c>
      <c r="Q11" s="69" t="s">
        <v>91</v>
      </c>
      <c r="R11" s="76"/>
      <c r="S11" s="77"/>
      <c r="T11" s="12"/>
      <c r="U11" s="63" t="s">
        <v>51</v>
      </c>
      <c r="W11" s="15"/>
      <c r="AK11" t="s">
        <v>91</v>
      </c>
    </row>
    <row r="12" spans="2:37" ht="15" customHeight="1" x14ac:dyDescent="0.3">
      <c r="B12" s="88" t="s">
        <v>55</v>
      </c>
      <c r="C12" s="14" t="s">
        <v>8</v>
      </c>
      <c r="D12" s="66">
        <v>0</v>
      </c>
      <c r="E12" s="10">
        <v>0</v>
      </c>
      <c r="F12" s="10">
        <v>0</v>
      </c>
      <c r="G12" s="10">
        <v>0</v>
      </c>
      <c r="H12" s="10">
        <v>1</v>
      </c>
      <c r="I12" s="3">
        <v>0</v>
      </c>
      <c r="J12" s="3">
        <v>0</v>
      </c>
      <c r="K12" s="17">
        <v>0</v>
      </c>
      <c r="L12" s="56" t="s">
        <v>7</v>
      </c>
      <c r="M12" s="14">
        <f t="shared" si="0"/>
        <v>2</v>
      </c>
      <c r="N12" s="60" t="str" cm="1">
        <f t="array" ref="N12">DEC2HEX(SUMPRODUCT(D12:K12,2^($D$3:$K$3)),2)</f>
        <v>08</v>
      </c>
      <c r="O12" s="47">
        <v>8</v>
      </c>
      <c r="P12" s="42" t="s">
        <v>82</v>
      </c>
      <c r="Q12" s="69" t="s">
        <v>91</v>
      </c>
      <c r="R12" s="76" t="s">
        <v>103</v>
      </c>
      <c r="S12" s="77" t="s">
        <v>156</v>
      </c>
      <c r="T12" s="12"/>
      <c r="U12" s="64"/>
      <c r="W12" s="14">
        <v>1</v>
      </c>
      <c r="AK12" t="s">
        <v>91</v>
      </c>
    </row>
    <row r="13" spans="2:37" ht="15" customHeight="1" x14ac:dyDescent="0.3">
      <c r="B13" s="89"/>
      <c r="C13" s="15" t="s">
        <v>4</v>
      </c>
      <c r="D13" s="66">
        <v>0</v>
      </c>
      <c r="E13" s="10">
        <v>0</v>
      </c>
      <c r="F13" s="10">
        <v>0</v>
      </c>
      <c r="G13" s="10">
        <v>0</v>
      </c>
      <c r="H13" s="10">
        <v>1</v>
      </c>
      <c r="I13" s="3">
        <v>0</v>
      </c>
      <c r="J13" s="3">
        <v>0</v>
      </c>
      <c r="K13" s="17">
        <v>1</v>
      </c>
      <c r="L13" s="56" t="s">
        <v>7</v>
      </c>
      <c r="M13" s="14">
        <f t="shared" si="0"/>
        <v>2</v>
      </c>
      <c r="N13" s="60" t="str" cm="1">
        <f t="array" ref="N13">DEC2HEX(SUMPRODUCT(D13:K13,2^($D$3:$K$3)),2)</f>
        <v>09</v>
      </c>
      <c r="O13" s="47">
        <v>8</v>
      </c>
      <c r="P13" s="42" t="s">
        <v>82</v>
      </c>
      <c r="Q13" s="69" t="s">
        <v>91</v>
      </c>
      <c r="R13" s="76"/>
      <c r="S13" s="77"/>
      <c r="T13" s="12"/>
      <c r="W13" s="15"/>
      <c r="AK13" t="s">
        <v>91</v>
      </c>
    </row>
    <row r="14" spans="2:37" ht="15" customHeight="1" x14ac:dyDescent="0.3">
      <c r="B14" s="89"/>
      <c r="C14" s="14" t="s">
        <v>12</v>
      </c>
      <c r="D14" s="66">
        <v>0</v>
      </c>
      <c r="E14" s="10">
        <v>0</v>
      </c>
      <c r="F14" s="10">
        <v>0</v>
      </c>
      <c r="G14" s="10">
        <v>0</v>
      </c>
      <c r="H14" s="10">
        <v>1</v>
      </c>
      <c r="I14" s="4">
        <v>0</v>
      </c>
      <c r="J14" s="4">
        <v>1</v>
      </c>
      <c r="K14" s="18">
        <v>0</v>
      </c>
      <c r="L14" s="56" t="s">
        <v>7</v>
      </c>
      <c r="M14" s="14">
        <f t="shared" si="0"/>
        <v>2</v>
      </c>
      <c r="N14" s="60" t="str" cm="1">
        <f t="array" ref="N14">DEC2HEX(SUMPRODUCT(D14:K14,2^($D$3:$K$3)),2)</f>
        <v>0A</v>
      </c>
      <c r="O14" s="47">
        <v>8</v>
      </c>
      <c r="P14" s="42" t="s">
        <v>82</v>
      </c>
      <c r="Q14" s="69" t="s">
        <v>91</v>
      </c>
      <c r="R14" s="76" t="s">
        <v>104</v>
      </c>
      <c r="S14" s="77"/>
      <c r="T14" s="12"/>
      <c r="W14" s="14">
        <v>1</v>
      </c>
      <c r="AK14" t="s">
        <v>91</v>
      </c>
    </row>
    <row r="15" spans="2:37" ht="15" customHeight="1" x14ac:dyDescent="0.3">
      <c r="B15" s="89"/>
      <c r="C15" s="14" t="s">
        <v>11</v>
      </c>
      <c r="D15" s="66">
        <v>0</v>
      </c>
      <c r="E15" s="10">
        <v>0</v>
      </c>
      <c r="F15" s="10">
        <v>0</v>
      </c>
      <c r="G15" s="10">
        <v>0</v>
      </c>
      <c r="H15" s="10">
        <v>1</v>
      </c>
      <c r="I15" s="4">
        <v>0</v>
      </c>
      <c r="J15" s="4">
        <v>1</v>
      </c>
      <c r="K15" s="19">
        <v>1</v>
      </c>
      <c r="L15" s="56" t="s">
        <v>7</v>
      </c>
      <c r="M15" s="14">
        <f t="shared" si="0"/>
        <v>2</v>
      </c>
      <c r="N15" s="60" t="str" cm="1">
        <f t="array" ref="N15">DEC2HEX(SUMPRODUCT(D15:K15,2^($D$3:$K$3)),2)</f>
        <v>0B</v>
      </c>
      <c r="O15" s="47">
        <v>8</v>
      </c>
      <c r="P15" s="42" t="s">
        <v>82</v>
      </c>
      <c r="Q15" s="69" t="s">
        <v>91</v>
      </c>
      <c r="R15" s="76" t="s">
        <v>105</v>
      </c>
      <c r="S15" s="77"/>
      <c r="T15" s="12"/>
      <c r="W15" s="14">
        <v>0</v>
      </c>
      <c r="AK15" t="s">
        <v>91</v>
      </c>
    </row>
    <row r="16" spans="2:37" ht="15" customHeight="1" x14ac:dyDescent="0.3">
      <c r="B16" s="89"/>
      <c r="C16" s="14" t="s">
        <v>10</v>
      </c>
      <c r="D16" s="66">
        <v>0</v>
      </c>
      <c r="E16" s="10">
        <v>0</v>
      </c>
      <c r="F16" s="10">
        <v>0</v>
      </c>
      <c r="G16" s="10">
        <v>0</v>
      </c>
      <c r="H16" s="10">
        <v>1</v>
      </c>
      <c r="I16" s="5">
        <v>1</v>
      </c>
      <c r="J16" s="5">
        <v>0</v>
      </c>
      <c r="K16" s="18">
        <v>0</v>
      </c>
      <c r="L16" s="56" t="s">
        <v>7</v>
      </c>
      <c r="M16" s="14">
        <f t="shared" si="0"/>
        <v>2</v>
      </c>
      <c r="N16" s="60" t="str" cm="1">
        <f t="array" ref="N16">DEC2HEX(SUMPRODUCT(D16:K16,2^($D$3:$K$3)),2)</f>
        <v>0C</v>
      </c>
      <c r="O16" s="47">
        <v>8</v>
      </c>
      <c r="P16" s="42" t="s">
        <v>82</v>
      </c>
      <c r="Q16" s="69" t="s">
        <v>91</v>
      </c>
      <c r="R16" s="76" t="s">
        <v>106</v>
      </c>
      <c r="S16" s="77"/>
      <c r="T16" s="12"/>
      <c r="W16" s="14">
        <v>0</v>
      </c>
      <c r="AK16" t="s">
        <v>91</v>
      </c>
    </row>
    <row r="17" spans="2:37" ht="15" customHeight="1" x14ac:dyDescent="0.3">
      <c r="B17" s="89"/>
      <c r="C17" s="14" t="s">
        <v>9</v>
      </c>
      <c r="D17" s="66">
        <v>0</v>
      </c>
      <c r="E17" s="10">
        <v>0</v>
      </c>
      <c r="F17" s="10">
        <v>0</v>
      </c>
      <c r="G17" s="10">
        <v>0</v>
      </c>
      <c r="H17" s="10">
        <v>1</v>
      </c>
      <c r="I17" s="5">
        <v>1</v>
      </c>
      <c r="J17" s="5">
        <v>0</v>
      </c>
      <c r="K17" s="19">
        <v>1</v>
      </c>
      <c r="L17" s="56" t="s">
        <v>7</v>
      </c>
      <c r="M17" s="14">
        <f t="shared" si="0"/>
        <v>2</v>
      </c>
      <c r="N17" s="60" t="str" cm="1">
        <f t="array" ref="N17">DEC2HEX(SUMPRODUCT(D17:K17,2^($D$3:$K$3)),2)</f>
        <v>0D</v>
      </c>
      <c r="O17" s="47">
        <v>8</v>
      </c>
      <c r="P17" s="42" t="s">
        <v>82</v>
      </c>
      <c r="Q17" s="69" t="s">
        <v>91</v>
      </c>
      <c r="R17" s="76" t="s">
        <v>107</v>
      </c>
      <c r="S17" s="77"/>
      <c r="T17" s="12"/>
      <c r="W17" s="14">
        <v>0</v>
      </c>
      <c r="AK17" t="s">
        <v>91</v>
      </c>
    </row>
    <row r="18" spans="2:37" ht="15" customHeight="1" x14ac:dyDescent="0.3">
      <c r="B18" s="89"/>
      <c r="C18" s="14" t="s">
        <v>6</v>
      </c>
      <c r="D18" s="66">
        <v>0</v>
      </c>
      <c r="E18" s="10">
        <v>0</v>
      </c>
      <c r="F18" s="10">
        <v>0</v>
      </c>
      <c r="G18" s="10">
        <v>0</v>
      </c>
      <c r="H18" s="10">
        <v>1</v>
      </c>
      <c r="I18" s="3">
        <v>1</v>
      </c>
      <c r="J18" s="3">
        <v>1</v>
      </c>
      <c r="K18" s="17">
        <v>0</v>
      </c>
      <c r="L18" s="56" t="s">
        <v>7</v>
      </c>
      <c r="M18" s="14">
        <f t="shared" si="0"/>
        <v>2</v>
      </c>
      <c r="N18" s="60" t="str" cm="1">
        <f t="array" ref="N18">DEC2HEX(SUMPRODUCT(D18:K18,2^($D$3:$K$3)),2)</f>
        <v>0E</v>
      </c>
      <c r="O18" s="47">
        <v>8</v>
      </c>
      <c r="P18" s="42" t="s">
        <v>82</v>
      </c>
      <c r="Q18" s="69" t="s">
        <v>91</v>
      </c>
      <c r="R18" s="76" t="s">
        <v>155</v>
      </c>
      <c r="S18" s="77" t="s">
        <v>153</v>
      </c>
      <c r="T18" s="12"/>
      <c r="W18" s="14">
        <v>1</v>
      </c>
      <c r="AK18" t="s">
        <v>91</v>
      </c>
    </row>
    <row r="19" spans="2:37" ht="15" customHeight="1" x14ac:dyDescent="0.3">
      <c r="B19" s="90"/>
      <c r="C19" s="14" t="s">
        <v>5</v>
      </c>
      <c r="D19" s="66">
        <v>0</v>
      </c>
      <c r="E19" s="10">
        <v>0</v>
      </c>
      <c r="F19" s="10">
        <v>0</v>
      </c>
      <c r="G19" s="10">
        <v>0</v>
      </c>
      <c r="H19" s="10">
        <v>1</v>
      </c>
      <c r="I19" s="3">
        <v>1</v>
      </c>
      <c r="J19" s="3">
        <v>1</v>
      </c>
      <c r="K19" s="17">
        <v>1</v>
      </c>
      <c r="L19" s="56" t="s">
        <v>25</v>
      </c>
      <c r="M19" s="14">
        <f t="shared" si="0"/>
        <v>1</v>
      </c>
      <c r="N19" s="60" t="str" cm="1">
        <f t="array" ref="N19">DEC2HEX(SUMPRODUCT(D19:K19,2^($D$3:$K$3)),2)</f>
        <v>0F</v>
      </c>
      <c r="O19" s="47">
        <v>8</v>
      </c>
      <c r="P19" s="42" t="s">
        <v>82</v>
      </c>
      <c r="Q19" s="69" t="s">
        <v>91</v>
      </c>
      <c r="R19" s="76" t="s">
        <v>154</v>
      </c>
      <c r="S19" s="77" t="s">
        <v>108</v>
      </c>
      <c r="T19" s="12"/>
      <c r="W19" s="14">
        <v>1</v>
      </c>
      <c r="AK19" t="s">
        <v>91</v>
      </c>
    </row>
    <row r="20" spans="2:37" ht="15" customHeight="1" x14ac:dyDescent="0.3">
      <c r="B20" s="81" t="s">
        <v>24</v>
      </c>
      <c r="C20" s="14" t="s">
        <v>18</v>
      </c>
      <c r="D20" s="66">
        <v>0</v>
      </c>
      <c r="E20" s="10">
        <v>0</v>
      </c>
      <c r="F20" s="10">
        <v>0</v>
      </c>
      <c r="G20" s="10">
        <v>1</v>
      </c>
      <c r="H20" s="3">
        <v>0</v>
      </c>
      <c r="I20" s="6">
        <v>0</v>
      </c>
      <c r="J20" s="7" t="s">
        <v>20</v>
      </c>
      <c r="K20" s="20" t="s">
        <v>20</v>
      </c>
      <c r="L20" s="56" t="s">
        <v>23</v>
      </c>
      <c r="M20" s="14">
        <f t="shared" si="0"/>
        <v>2</v>
      </c>
      <c r="N20" s="60" t="str" cm="1">
        <f t="array" ref="N20">DEC2HEX(SUMPRODUCT(D20:K20,2^($D$3:$K$3)),2)</f>
        <v>10</v>
      </c>
      <c r="O20" s="48">
        <v>10</v>
      </c>
      <c r="P20" s="42" t="s">
        <v>83</v>
      </c>
      <c r="Q20" s="69" t="s">
        <v>91</v>
      </c>
      <c r="R20" s="76" t="s">
        <v>109</v>
      </c>
      <c r="S20" s="77"/>
      <c r="T20" s="12"/>
      <c r="W20" s="14">
        <v>1</v>
      </c>
      <c r="AK20" t="s">
        <v>91</v>
      </c>
    </row>
    <row r="21" spans="2:37" ht="15" customHeight="1" x14ac:dyDescent="0.3">
      <c r="B21" s="81"/>
      <c r="C21" s="14" t="s">
        <v>19</v>
      </c>
      <c r="D21" s="66">
        <v>0</v>
      </c>
      <c r="E21" s="10">
        <v>0</v>
      </c>
      <c r="F21" s="10">
        <v>0</v>
      </c>
      <c r="G21" s="10">
        <v>1</v>
      </c>
      <c r="H21" s="3">
        <v>0</v>
      </c>
      <c r="I21" s="8">
        <v>1</v>
      </c>
      <c r="J21" s="7" t="s">
        <v>20</v>
      </c>
      <c r="K21" s="20" t="s">
        <v>20</v>
      </c>
      <c r="L21" s="56" t="s">
        <v>7</v>
      </c>
      <c r="M21" s="14">
        <f t="shared" si="0"/>
        <v>2</v>
      </c>
      <c r="N21" s="60" t="str" cm="1">
        <f t="array" ref="N21">DEC2HEX(SUMPRODUCT(D21:K21,2^($D$3:$K$3)),2)</f>
        <v>14</v>
      </c>
      <c r="O21" s="48">
        <v>10</v>
      </c>
      <c r="P21" s="42" t="s">
        <v>83</v>
      </c>
      <c r="Q21" s="69" t="s">
        <v>91</v>
      </c>
      <c r="R21" s="76" t="s">
        <v>110</v>
      </c>
      <c r="S21" s="77"/>
      <c r="T21" s="12"/>
      <c r="W21" s="14">
        <v>1</v>
      </c>
      <c r="AK21" t="s">
        <v>91</v>
      </c>
    </row>
    <row r="22" spans="2:37" ht="15" customHeight="1" x14ac:dyDescent="0.3">
      <c r="B22" s="81"/>
      <c r="C22" s="14" t="s">
        <v>22</v>
      </c>
      <c r="D22" s="66">
        <v>0</v>
      </c>
      <c r="E22" s="10">
        <v>0</v>
      </c>
      <c r="F22" s="10">
        <v>0</v>
      </c>
      <c r="G22" s="10">
        <v>1</v>
      </c>
      <c r="H22" s="3">
        <v>1</v>
      </c>
      <c r="I22" s="3">
        <v>0</v>
      </c>
      <c r="J22" s="7" t="s">
        <v>20</v>
      </c>
      <c r="K22" s="20" t="s">
        <v>20</v>
      </c>
      <c r="L22" s="56" t="s">
        <v>25</v>
      </c>
      <c r="M22" s="14">
        <f t="shared" si="0"/>
        <v>1</v>
      </c>
      <c r="N22" s="60" t="str" cm="1">
        <f t="array" ref="N22">DEC2HEX(SUMPRODUCT(D22:K22,2^($D$3:$K$3)),2)</f>
        <v>18</v>
      </c>
      <c r="O22" s="48">
        <v>10</v>
      </c>
      <c r="P22" s="42" t="s">
        <v>83</v>
      </c>
      <c r="Q22" s="69" t="s">
        <v>91</v>
      </c>
      <c r="R22" s="76" t="s">
        <v>111</v>
      </c>
      <c r="S22" s="77"/>
      <c r="T22" s="12"/>
      <c r="W22" s="14">
        <v>0</v>
      </c>
      <c r="AK22" t="s">
        <v>91</v>
      </c>
    </row>
    <row r="23" spans="2:37" ht="15" customHeight="1" x14ac:dyDescent="0.3">
      <c r="B23" s="81"/>
      <c r="C23" s="15" t="s">
        <v>4</v>
      </c>
      <c r="D23" s="66">
        <v>0</v>
      </c>
      <c r="E23" s="10">
        <v>0</v>
      </c>
      <c r="F23" s="10">
        <v>0</v>
      </c>
      <c r="G23" s="10">
        <v>1</v>
      </c>
      <c r="H23" s="3">
        <v>1</v>
      </c>
      <c r="I23" s="3">
        <v>1</v>
      </c>
      <c r="J23" s="3" t="s">
        <v>4</v>
      </c>
      <c r="K23" s="17" t="s">
        <v>4</v>
      </c>
      <c r="L23" s="56" t="s">
        <v>25</v>
      </c>
      <c r="M23" s="14">
        <f t="shared" si="0"/>
        <v>1</v>
      </c>
      <c r="N23" s="60" t="str" cm="1">
        <f t="array" ref="N23">DEC2HEX(SUMPRODUCT(D23:K23,2^($D$3:$K$3)),2)</f>
        <v>1C</v>
      </c>
      <c r="O23" s="48">
        <v>10</v>
      </c>
      <c r="P23" s="42" t="s">
        <v>83</v>
      </c>
      <c r="Q23" s="69" t="s">
        <v>91</v>
      </c>
      <c r="R23" s="76"/>
      <c r="S23" s="77"/>
      <c r="T23" s="12"/>
      <c r="W23" s="15"/>
      <c r="AK23" t="s">
        <v>91</v>
      </c>
    </row>
    <row r="24" spans="2:37" ht="15" customHeight="1" x14ac:dyDescent="0.3">
      <c r="B24" s="80" t="s">
        <v>27</v>
      </c>
      <c r="C24" s="15" t="s">
        <v>4</v>
      </c>
      <c r="D24" s="66">
        <v>0</v>
      </c>
      <c r="E24" s="10">
        <v>0</v>
      </c>
      <c r="F24" s="10">
        <v>1</v>
      </c>
      <c r="G24" s="10">
        <v>0</v>
      </c>
      <c r="H24" s="3">
        <v>0</v>
      </c>
      <c r="I24" s="3">
        <v>0</v>
      </c>
      <c r="J24" s="3" t="s">
        <v>4</v>
      </c>
      <c r="K24" s="17" t="s">
        <v>4</v>
      </c>
      <c r="L24" s="56" t="s">
        <v>25</v>
      </c>
      <c r="M24" s="14">
        <f t="shared" si="0"/>
        <v>1</v>
      </c>
      <c r="N24" s="60" t="str" cm="1">
        <f t="array" ref="N24">DEC2HEX(SUMPRODUCT(D24:K24,2^($D$3:$K$3)),2)</f>
        <v>20</v>
      </c>
      <c r="O24" s="49">
        <v>20</v>
      </c>
      <c r="P24" s="42" t="s">
        <v>83</v>
      </c>
      <c r="Q24" s="69" t="s">
        <v>91</v>
      </c>
      <c r="R24" s="76"/>
      <c r="S24" s="77"/>
      <c r="T24" s="12"/>
      <c r="W24" s="15"/>
      <c r="AK24" t="s">
        <v>91</v>
      </c>
    </row>
    <row r="25" spans="2:37" ht="15" customHeight="1" x14ac:dyDescent="0.3">
      <c r="B25" s="80"/>
      <c r="C25" s="14" t="s">
        <v>72</v>
      </c>
      <c r="D25" s="66">
        <v>0</v>
      </c>
      <c r="E25" s="10">
        <v>0</v>
      </c>
      <c r="F25" s="10">
        <v>1</v>
      </c>
      <c r="G25" s="10">
        <v>0</v>
      </c>
      <c r="H25" s="3">
        <v>0</v>
      </c>
      <c r="I25" s="8">
        <v>1</v>
      </c>
      <c r="J25" s="9" t="s">
        <v>21</v>
      </c>
      <c r="K25" s="21" t="s">
        <v>21</v>
      </c>
      <c r="L25" s="56" t="s">
        <v>7</v>
      </c>
      <c r="M25" s="14">
        <f t="shared" si="0"/>
        <v>2</v>
      </c>
      <c r="N25" s="60" t="str" cm="1">
        <f t="array" ref="N25">DEC2HEX(SUMPRODUCT(D25:K25,2^($D$3:$K$3)),2)</f>
        <v>24</v>
      </c>
      <c r="O25" s="49">
        <v>20</v>
      </c>
      <c r="P25" s="42" t="s">
        <v>83</v>
      </c>
      <c r="Q25" s="69" t="s">
        <v>91</v>
      </c>
      <c r="R25" s="76" t="s">
        <v>112</v>
      </c>
      <c r="S25" s="77"/>
      <c r="T25" s="12"/>
      <c r="W25" s="14">
        <v>1</v>
      </c>
      <c r="AK25" t="s">
        <v>91</v>
      </c>
    </row>
    <row r="26" spans="2:37" ht="15" customHeight="1" x14ac:dyDescent="0.3">
      <c r="B26" s="80"/>
      <c r="C26" s="14" t="s">
        <v>26</v>
      </c>
      <c r="D26" s="66">
        <v>0</v>
      </c>
      <c r="E26" s="10">
        <v>0</v>
      </c>
      <c r="F26" s="10">
        <v>1</v>
      </c>
      <c r="G26" s="10">
        <v>0</v>
      </c>
      <c r="H26" s="3">
        <v>1</v>
      </c>
      <c r="I26" s="3">
        <v>0</v>
      </c>
      <c r="J26" s="9" t="s">
        <v>21</v>
      </c>
      <c r="K26" s="21" t="s">
        <v>21</v>
      </c>
      <c r="L26" s="56" t="s">
        <v>25</v>
      </c>
      <c r="M26" s="14">
        <f t="shared" si="0"/>
        <v>1</v>
      </c>
      <c r="N26" s="60" t="str" cm="1">
        <f t="array" ref="N26">DEC2HEX(SUMPRODUCT(D26:K26,2^($D$3:$K$3)),2)</f>
        <v>28</v>
      </c>
      <c r="O26" s="49">
        <v>20</v>
      </c>
      <c r="P26" s="42" t="s">
        <v>83</v>
      </c>
      <c r="Q26" s="69" t="s">
        <v>91</v>
      </c>
      <c r="R26" s="76" t="s">
        <v>113</v>
      </c>
      <c r="S26" s="77"/>
      <c r="T26" s="12"/>
      <c r="W26" s="14">
        <v>0</v>
      </c>
      <c r="AK26" t="s">
        <v>91</v>
      </c>
    </row>
    <row r="27" spans="2:37" ht="15" customHeight="1" x14ac:dyDescent="0.3">
      <c r="B27" s="80"/>
      <c r="C27" s="15" t="s">
        <v>4</v>
      </c>
      <c r="D27" s="66">
        <v>0</v>
      </c>
      <c r="E27" s="10">
        <v>0</v>
      </c>
      <c r="F27" s="10">
        <v>1</v>
      </c>
      <c r="G27" s="10">
        <v>0</v>
      </c>
      <c r="H27" s="3">
        <v>1</v>
      </c>
      <c r="I27" s="3">
        <v>1</v>
      </c>
      <c r="J27" s="3" t="s">
        <v>4</v>
      </c>
      <c r="K27" s="17" t="s">
        <v>4</v>
      </c>
      <c r="L27" s="56" t="s">
        <v>25</v>
      </c>
      <c r="M27" s="14">
        <f t="shared" si="0"/>
        <v>1</v>
      </c>
      <c r="N27" s="60" t="str" cm="1">
        <f t="array" ref="N27">DEC2HEX(SUMPRODUCT(D27:K27,2^($D$3:$K$3)),2)</f>
        <v>2C</v>
      </c>
      <c r="O27" s="49">
        <v>20</v>
      </c>
      <c r="P27" s="42" t="s">
        <v>83</v>
      </c>
      <c r="Q27" s="69" t="s">
        <v>91</v>
      </c>
      <c r="R27" s="76"/>
      <c r="S27" s="77"/>
      <c r="T27" s="12"/>
      <c r="W27" s="15"/>
      <c r="AK27" t="s">
        <v>91</v>
      </c>
    </row>
    <row r="28" spans="2:37" ht="15" customHeight="1" x14ac:dyDescent="0.3">
      <c r="B28" s="36" t="s">
        <v>53</v>
      </c>
      <c r="C28" s="14" t="s">
        <v>28</v>
      </c>
      <c r="D28" s="66">
        <v>0</v>
      </c>
      <c r="E28" s="10">
        <v>0</v>
      </c>
      <c r="F28" s="10">
        <v>1</v>
      </c>
      <c r="G28" s="10">
        <v>1</v>
      </c>
      <c r="H28" s="9" t="s">
        <v>21</v>
      </c>
      <c r="I28" s="9" t="s">
        <v>21</v>
      </c>
      <c r="J28" s="7" t="s">
        <v>20</v>
      </c>
      <c r="K28" s="20" t="s">
        <v>20</v>
      </c>
      <c r="L28" s="56" t="s">
        <v>25</v>
      </c>
      <c r="M28" s="14">
        <f t="shared" si="0"/>
        <v>1</v>
      </c>
      <c r="N28" s="60" t="str" cm="1">
        <f t="array" ref="N28">DEC2HEX(SUMPRODUCT(D28:K28,2^($D$3:$K$3)),2)</f>
        <v>30</v>
      </c>
      <c r="O28" s="50">
        <v>30</v>
      </c>
      <c r="P28" s="42" t="s">
        <v>81</v>
      </c>
      <c r="Q28" s="69" t="s">
        <v>91</v>
      </c>
      <c r="R28" s="76" t="s">
        <v>114</v>
      </c>
      <c r="S28" s="77"/>
      <c r="T28" s="12"/>
      <c r="W28" s="14">
        <v>1</v>
      </c>
      <c r="AK28" t="s">
        <v>91</v>
      </c>
    </row>
    <row r="29" spans="2:37" ht="15" customHeight="1" x14ac:dyDescent="0.3">
      <c r="B29" s="93" t="s">
        <v>57</v>
      </c>
      <c r="C29" s="14" t="s">
        <v>36</v>
      </c>
      <c r="D29" s="66">
        <v>0</v>
      </c>
      <c r="E29" s="10">
        <v>1</v>
      </c>
      <c r="F29" s="10">
        <v>0</v>
      </c>
      <c r="G29" s="10">
        <v>0</v>
      </c>
      <c r="H29" s="10">
        <v>0</v>
      </c>
      <c r="I29" s="11">
        <v>0</v>
      </c>
      <c r="J29" s="7" t="s">
        <v>20</v>
      </c>
      <c r="K29" s="20" t="s">
        <v>20</v>
      </c>
      <c r="L29" s="56" t="s">
        <v>23</v>
      </c>
      <c r="M29" s="14">
        <f t="shared" si="0"/>
        <v>2</v>
      </c>
      <c r="N29" s="60" t="str" cm="1">
        <f t="array" ref="N29">DEC2HEX(SUMPRODUCT(D29:K29,2^($D$3:$K$3)),2)</f>
        <v>40</v>
      </c>
      <c r="O29" s="45">
        <v>40</v>
      </c>
      <c r="P29" s="42" t="s">
        <v>83</v>
      </c>
      <c r="Q29" s="69" t="s">
        <v>96</v>
      </c>
      <c r="R29" s="76" t="s">
        <v>115</v>
      </c>
      <c r="S29" s="77" t="s">
        <v>136</v>
      </c>
      <c r="T29" s="12"/>
      <c r="W29" s="14">
        <v>1</v>
      </c>
      <c r="AK29" t="s">
        <v>91</v>
      </c>
    </row>
    <row r="30" spans="2:37" ht="15" customHeight="1" x14ac:dyDescent="0.3">
      <c r="B30" s="93"/>
      <c r="C30" s="14" t="s">
        <v>37</v>
      </c>
      <c r="D30" s="67">
        <v>0</v>
      </c>
      <c r="E30" s="3">
        <v>1</v>
      </c>
      <c r="F30" s="3">
        <v>0</v>
      </c>
      <c r="G30" s="3">
        <v>0</v>
      </c>
      <c r="H30" s="3">
        <v>0</v>
      </c>
      <c r="I30" s="8">
        <v>1</v>
      </c>
      <c r="J30" s="7" t="s">
        <v>20</v>
      </c>
      <c r="K30" s="20" t="s">
        <v>20</v>
      </c>
      <c r="L30" s="56" t="s">
        <v>7</v>
      </c>
      <c r="M30" s="14">
        <f t="shared" si="0"/>
        <v>2</v>
      </c>
      <c r="N30" s="60" t="str" cm="1">
        <f t="array" ref="N30">DEC2HEX(SUMPRODUCT(D30:K30,2^($D$3:$K$3)),2)</f>
        <v>44</v>
      </c>
      <c r="O30" s="45">
        <v>40</v>
      </c>
      <c r="P30" s="42" t="s">
        <v>83</v>
      </c>
      <c r="Q30" s="69" t="s">
        <v>96</v>
      </c>
      <c r="R30" s="76" t="s">
        <v>116</v>
      </c>
      <c r="S30" s="77" t="s">
        <v>134</v>
      </c>
      <c r="T30" s="12"/>
      <c r="W30" s="14">
        <v>0</v>
      </c>
      <c r="AK30" t="s">
        <v>91</v>
      </c>
    </row>
    <row r="31" spans="2:37" ht="15" customHeight="1" x14ac:dyDescent="0.3">
      <c r="B31" s="93"/>
      <c r="C31" s="14" t="s">
        <v>38</v>
      </c>
      <c r="D31" s="67">
        <v>0</v>
      </c>
      <c r="E31" s="3">
        <v>1</v>
      </c>
      <c r="F31" s="3">
        <v>0</v>
      </c>
      <c r="G31" s="3">
        <v>0</v>
      </c>
      <c r="H31" s="3">
        <v>1</v>
      </c>
      <c r="I31" s="6">
        <v>0</v>
      </c>
      <c r="J31" s="7" t="s">
        <v>20</v>
      </c>
      <c r="K31" s="20" t="s">
        <v>20</v>
      </c>
      <c r="L31" s="56" t="s">
        <v>23</v>
      </c>
      <c r="M31" s="14">
        <f t="shared" si="0"/>
        <v>2</v>
      </c>
      <c r="N31" s="60" t="str" cm="1">
        <f t="array" ref="N31">DEC2HEX(SUMPRODUCT(D31:K31,2^($D$3:$K$3)),2)</f>
        <v>48</v>
      </c>
      <c r="O31" s="45">
        <v>40</v>
      </c>
      <c r="P31" s="42" t="s">
        <v>83</v>
      </c>
      <c r="Q31" s="69" t="s">
        <v>96</v>
      </c>
      <c r="R31" s="76" t="s">
        <v>117</v>
      </c>
      <c r="S31" s="77" t="s">
        <v>137</v>
      </c>
      <c r="T31" s="12"/>
      <c r="W31" s="14">
        <v>1</v>
      </c>
      <c r="AK31" t="s">
        <v>91</v>
      </c>
    </row>
    <row r="32" spans="2:37" ht="15" customHeight="1" x14ac:dyDescent="0.3">
      <c r="B32" s="93"/>
      <c r="C32" s="14" t="s">
        <v>39</v>
      </c>
      <c r="D32" s="67">
        <v>0</v>
      </c>
      <c r="E32" s="3">
        <v>1</v>
      </c>
      <c r="F32" s="3">
        <v>0</v>
      </c>
      <c r="G32" s="3">
        <v>0</v>
      </c>
      <c r="H32" s="3">
        <v>1</v>
      </c>
      <c r="I32" s="8">
        <v>1</v>
      </c>
      <c r="J32" s="7" t="s">
        <v>20</v>
      </c>
      <c r="K32" s="20" t="s">
        <v>20</v>
      </c>
      <c r="L32" s="56" t="s">
        <v>7</v>
      </c>
      <c r="M32" s="14">
        <f t="shared" si="0"/>
        <v>2</v>
      </c>
      <c r="N32" s="60" t="str" cm="1">
        <f t="array" ref="N32">DEC2HEX(SUMPRODUCT(D32:K32,2^($D$3:$K$3)),2)</f>
        <v>4C</v>
      </c>
      <c r="O32" s="45">
        <v>40</v>
      </c>
      <c r="P32" s="42" t="s">
        <v>83</v>
      </c>
      <c r="Q32" s="69" t="s">
        <v>96</v>
      </c>
      <c r="R32" s="76" t="s">
        <v>118</v>
      </c>
      <c r="S32" s="77" t="s">
        <v>138</v>
      </c>
      <c r="T32" s="12"/>
      <c r="W32" s="14">
        <v>0</v>
      </c>
      <c r="AK32" t="s">
        <v>91</v>
      </c>
    </row>
    <row r="33" spans="2:37" ht="15" customHeight="1" x14ac:dyDescent="0.3">
      <c r="B33" s="94" t="s">
        <v>58</v>
      </c>
      <c r="C33" s="14" t="s">
        <v>33</v>
      </c>
      <c r="D33" s="67">
        <v>0</v>
      </c>
      <c r="E33" s="3">
        <v>1</v>
      </c>
      <c r="F33" s="3">
        <v>0</v>
      </c>
      <c r="G33" s="3">
        <v>1</v>
      </c>
      <c r="H33" s="9" t="s">
        <v>21</v>
      </c>
      <c r="I33" s="9" t="s">
        <v>21</v>
      </c>
      <c r="J33" s="7" t="s">
        <v>20</v>
      </c>
      <c r="K33" s="20" t="s">
        <v>20</v>
      </c>
      <c r="L33" s="56" t="s">
        <v>25</v>
      </c>
      <c r="M33" s="14">
        <f t="shared" si="0"/>
        <v>1</v>
      </c>
      <c r="N33" s="60" t="str" cm="1">
        <f t="array" ref="N33">DEC2HEX(SUMPRODUCT(D33:K33,2^($D$3:$K$3)),2)</f>
        <v>50</v>
      </c>
      <c r="O33" s="52">
        <v>50</v>
      </c>
      <c r="P33" s="42" t="s">
        <v>81</v>
      </c>
      <c r="Q33" s="69" t="s">
        <v>96</v>
      </c>
      <c r="R33" s="76" t="s">
        <v>119</v>
      </c>
      <c r="S33" s="77" t="s">
        <v>135</v>
      </c>
      <c r="T33" s="12"/>
      <c r="W33" s="14">
        <v>0</v>
      </c>
      <c r="AK33" t="s">
        <v>91</v>
      </c>
    </row>
    <row r="34" spans="2:37" ht="15" customHeight="1" x14ac:dyDescent="0.3">
      <c r="B34" s="94"/>
      <c r="C34" s="14" t="s">
        <v>34</v>
      </c>
      <c r="D34" s="67">
        <v>0</v>
      </c>
      <c r="E34" s="3">
        <v>1</v>
      </c>
      <c r="F34" s="3">
        <v>1</v>
      </c>
      <c r="G34" s="3">
        <v>0</v>
      </c>
      <c r="H34" s="9" t="s">
        <v>21</v>
      </c>
      <c r="I34" s="9" t="s">
        <v>21</v>
      </c>
      <c r="J34" s="7" t="s">
        <v>20</v>
      </c>
      <c r="K34" s="20" t="s">
        <v>20</v>
      </c>
      <c r="L34" s="56" t="s">
        <v>25</v>
      </c>
      <c r="M34" s="14">
        <f t="shared" si="0"/>
        <v>1</v>
      </c>
      <c r="N34" s="60" t="str" cm="1">
        <f t="array" ref="N34">DEC2HEX(SUMPRODUCT(D34:K34,2^($D$3:$K$3)),2)</f>
        <v>60</v>
      </c>
      <c r="O34" s="52">
        <v>60</v>
      </c>
      <c r="P34" s="42" t="s">
        <v>81</v>
      </c>
      <c r="Q34" s="69" t="s">
        <v>96</v>
      </c>
      <c r="R34" s="76" t="s">
        <v>120</v>
      </c>
      <c r="S34" s="77" t="s">
        <v>139</v>
      </c>
      <c r="T34" s="12"/>
      <c r="W34" s="14">
        <v>0</v>
      </c>
      <c r="AK34" t="s">
        <v>91</v>
      </c>
    </row>
    <row r="35" spans="2:37" ht="15" customHeight="1" x14ac:dyDescent="0.3">
      <c r="B35" s="95" t="s">
        <v>64</v>
      </c>
      <c r="C35" s="14" t="s">
        <v>31</v>
      </c>
      <c r="D35" s="67">
        <v>0</v>
      </c>
      <c r="E35" s="3">
        <v>1</v>
      </c>
      <c r="F35" s="3">
        <v>1</v>
      </c>
      <c r="G35" s="3">
        <v>1</v>
      </c>
      <c r="H35" s="10">
        <v>0</v>
      </c>
      <c r="I35" s="10">
        <v>0</v>
      </c>
      <c r="J35" s="7" t="s">
        <v>20</v>
      </c>
      <c r="K35" s="20" t="s">
        <v>20</v>
      </c>
      <c r="L35" s="56" t="s">
        <v>25</v>
      </c>
      <c r="M35" s="14">
        <f t="shared" si="0"/>
        <v>1</v>
      </c>
      <c r="N35" s="60" t="str" cm="1">
        <f t="array" ref="N35">DEC2HEX(SUMPRODUCT(D35:K35,2^($D$3:$K$3)),2)</f>
        <v>70</v>
      </c>
      <c r="O35" s="47">
        <v>70</v>
      </c>
      <c r="P35" s="42" t="s">
        <v>83</v>
      </c>
      <c r="Q35" s="69" t="s">
        <v>96</v>
      </c>
      <c r="R35" s="76" t="s">
        <v>140</v>
      </c>
      <c r="S35" s="77" t="s">
        <v>145</v>
      </c>
      <c r="T35" s="12"/>
      <c r="W35" s="14">
        <v>0</v>
      </c>
      <c r="AK35" t="s">
        <v>91</v>
      </c>
    </row>
    <row r="36" spans="2:37" ht="15" customHeight="1" x14ac:dyDescent="0.3">
      <c r="B36" s="95"/>
      <c r="C36" s="14" t="s">
        <v>32</v>
      </c>
      <c r="D36" s="67">
        <v>0</v>
      </c>
      <c r="E36" s="3">
        <v>1</v>
      </c>
      <c r="F36" s="3">
        <v>1</v>
      </c>
      <c r="G36" s="3">
        <v>1</v>
      </c>
      <c r="H36" s="3">
        <v>0</v>
      </c>
      <c r="I36" s="3">
        <v>1</v>
      </c>
      <c r="J36" s="7" t="s">
        <v>20</v>
      </c>
      <c r="K36" s="20" t="s">
        <v>20</v>
      </c>
      <c r="L36" s="56" t="s">
        <v>25</v>
      </c>
      <c r="M36" s="14">
        <f t="shared" si="0"/>
        <v>1</v>
      </c>
      <c r="N36" s="60" t="str" cm="1">
        <f t="array" ref="N36">DEC2HEX(SUMPRODUCT(D36:K36,2^($D$3:$K$3)),2)</f>
        <v>74</v>
      </c>
      <c r="O36" s="47">
        <v>70</v>
      </c>
      <c r="P36" s="42" t="s">
        <v>83</v>
      </c>
      <c r="Q36" s="69" t="s">
        <v>96</v>
      </c>
      <c r="R36" s="76" t="s">
        <v>141</v>
      </c>
      <c r="S36" s="77" t="s">
        <v>145</v>
      </c>
      <c r="T36" s="12"/>
      <c r="W36" s="14">
        <v>0</v>
      </c>
      <c r="AK36" t="s">
        <v>91</v>
      </c>
    </row>
    <row r="37" spans="2:37" ht="15" customHeight="1" x14ac:dyDescent="0.3">
      <c r="B37" s="95"/>
      <c r="C37" s="14" t="s">
        <v>62</v>
      </c>
      <c r="D37" s="67">
        <v>0</v>
      </c>
      <c r="E37" s="3">
        <v>1</v>
      </c>
      <c r="F37" s="3">
        <v>1</v>
      </c>
      <c r="G37" s="3">
        <v>1</v>
      </c>
      <c r="H37" s="3">
        <v>1</v>
      </c>
      <c r="I37" s="3">
        <v>0</v>
      </c>
      <c r="J37" s="7" t="s">
        <v>20</v>
      </c>
      <c r="K37" s="20" t="s">
        <v>20</v>
      </c>
      <c r="L37" s="56" t="s">
        <v>25</v>
      </c>
      <c r="M37" s="14">
        <f t="shared" si="0"/>
        <v>1</v>
      </c>
      <c r="N37" s="60" t="str" cm="1">
        <f t="array" ref="N37">DEC2HEX(SUMPRODUCT(D37:K37,2^($D$3:$K$3)),2)</f>
        <v>78</v>
      </c>
      <c r="O37" s="47">
        <v>70</v>
      </c>
      <c r="P37" s="42" t="s">
        <v>83</v>
      </c>
      <c r="Q37" s="69" t="s">
        <v>95</v>
      </c>
      <c r="R37" s="76" t="s">
        <v>142</v>
      </c>
      <c r="S37" s="77" t="s">
        <v>144</v>
      </c>
      <c r="T37" s="12"/>
      <c r="W37" s="14">
        <v>0</v>
      </c>
      <c r="AK37" t="s">
        <v>91</v>
      </c>
    </row>
    <row r="38" spans="2:37" ht="15" customHeight="1" x14ac:dyDescent="0.3">
      <c r="B38" s="95"/>
      <c r="C38" s="14" t="s">
        <v>63</v>
      </c>
      <c r="D38" s="67">
        <v>0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7" t="s">
        <v>20</v>
      </c>
      <c r="K38" s="20" t="s">
        <v>20</v>
      </c>
      <c r="L38" s="56" t="s">
        <v>25</v>
      </c>
      <c r="M38" s="14">
        <f t="shared" si="0"/>
        <v>1</v>
      </c>
      <c r="N38" s="60" t="str" cm="1">
        <f t="array" ref="N38">DEC2HEX(SUMPRODUCT(D38:K38,2^($D$3:$K$3)),2)</f>
        <v>7C</v>
      </c>
      <c r="O38" s="47">
        <v>70</v>
      </c>
      <c r="P38" s="42" t="s">
        <v>83</v>
      </c>
      <c r="Q38" s="69" t="s">
        <v>95</v>
      </c>
      <c r="R38" s="76" t="s">
        <v>143</v>
      </c>
      <c r="S38" s="77" t="s">
        <v>144</v>
      </c>
      <c r="T38" s="12"/>
      <c r="W38" s="14">
        <v>0</v>
      </c>
      <c r="AK38" t="s">
        <v>91</v>
      </c>
    </row>
    <row r="39" spans="2:37" ht="15" customHeight="1" x14ac:dyDescent="0.3">
      <c r="B39" s="96" t="s">
        <v>59</v>
      </c>
      <c r="C39" s="14" t="s">
        <v>42</v>
      </c>
      <c r="D39" s="67">
        <v>1</v>
      </c>
      <c r="E39" s="3">
        <v>0</v>
      </c>
      <c r="F39" s="3">
        <v>0</v>
      </c>
      <c r="G39" s="3">
        <v>0</v>
      </c>
      <c r="H39" s="10">
        <v>0</v>
      </c>
      <c r="I39" s="11">
        <v>0</v>
      </c>
      <c r="J39" s="7" t="s">
        <v>20</v>
      </c>
      <c r="K39" s="20" t="s">
        <v>20</v>
      </c>
      <c r="L39" s="56" t="s">
        <v>23</v>
      </c>
      <c r="M39" s="14">
        <f t="shared" si="0"/>
        <v>2</v>
      </c>
      <c r="N39" s="60" t="str" cm="1">
        <f t="array" ref="N39">DEC2HEX(SUMPRODUCT(D39:K39,2^($D$3:$K$3)),2)</f>
        <v>80</v>
      </c>
      <c r="O39" s="48">
        <v>80</v>
      </c>
      <c r="P39" s="42" t="s">
        <v>83</v>
      </c>
      <c r="Q39" s="69" t="s">
        <v>96</v>
      </c>
      <c r="R39" s="76" t="s">
        <v>147</v>
      </c>
      <c r="S39" s="77" t="s">
        <v>150</v>
      </c>
      <c r="T39" s="12"/>
      <c r="W39" s="14">
        <v>0</v>
      </c>
      <c r="AK39" t="s">
        <v>91</v>
      </c>
    </row>
    <row r="40" spans="2:37" ht="15" customHeight="1" x14ac:dyDescent="0.3">
      <c r="B40" s="96"/>
      <c r="C40" s="14" t="s">
        <v>43</v>
      </c>
      <c r="D40" s="67">
        <v>1</v>
      </c>
      <c r="E40" s="3">
        <v>0</v>
      </c>
      <c r="F40" s="3">
        <v>0</v>
      </c>
      <c r="G40" s="3">
        <v>0</v>
      </c>
      <c r="H40" s="3">
        <v>0</v>
      </c>
      <c r="I40" s="8">
        <v>1</v>
      </c>
      <c r="J40" s="7" t="s">
        <v>20</v>
      </c>
      <c r="K40" s="20" t="s">
        <v>20</v>
      </c>
      <c r="L40" s="56" t="s">
        <v>7</v>
      </c>
      <c r="M40" s="14">
        <f t="shared" si="0"/>
        <v>2</v>
      </c>
      <c r="N40" s="60" t="str" cm="1">
        <f t="array" ref="N40">DEC2HEX(SUMPRODUCT(D40:K40,2^($D$3:$K$3)),2)</f>
        <v>84</v>
      </c>
      <c r="O40" s="48">
        <v>80</v>
      </c>
      <c r="P40" s="42" t="s">
        <v>83</v>
      </c>
      <c r="Q40" s="69" t="s">
        <v>96</v>
      </c>
      <c r="R40" s="76" t="s">
        <v>148</v>
      </c>
      <c r="S40" s="77" t="s">
        <v>151</v>
      </c>
      <c r="T40" s="12"/>
      <c r="W40" s="14">
        <v>0</v>
      </c>
      <c r="AK40" t="s">
        <v>91</v>
      </c>
    </row>
    <row r="41" spans="2:37" ht="15" customHeight="1" x14ac:dyDescent="0.3">
      <c r="B41" s="96"/>
      <c r="C41" s="14" t="s">
        <v>44</v>
      </c>
      <c r="D41" s="67">
        <v>1</v>
      </c>
      <c r="E41" s="3">
        <v>0</v>
      </c>
      <c r="F41" s="3">
        <v>0</v>
      </c>
      <c r="G41" s="3">
        <v>0</v>
      </c>
      <c r="H41" s="3">
        <v>1</v>
      </c>
      <c r="I41" s="6">
        <v>0</v>
      </c>
      <c r="J41" s="7" t="s">
        <v>20</v>
      </c>
      <c r="K41" s="20" t="s">
        <v>20</v>
      </c>
      <c r="L41" s="56" t="s">
        <v>23</v>
      </c>
      <c r="M41" s="14">
        <f t="shared" si="0"/>
        <v>2</v>
      </c>
      <c r="N41" s="60" t="str" cm="1">
        <f t="array" ref="N41">DEC2HEX(SUMPRODUCT(D41:K41,2^($D$3:$K$3)),2)</f>
        <v>88</v>
      </c>
      <c r="O41" s="48">
        <v>80</v>
      </c>
      <c r="P41" s="42" t="s">
        <v>83</v>
      </c>
      <c r="Q41" s="69" t="s">
        <v>95</v>
      </c>
      <c r="R41" s="76" t="s">
        <v>121</v>
      </c>
      <c r="S41" s="77"/>
      <c r="T41" s="12"/>
      <c r="W41" s="14">
        <v>0</v>
      </c>
      <c r="AK41" t="s">
        <v>91</v>
      </c>
    </row>
    <row r="42" spans="2:37" ht="15" customHeight="1" x14ac:dyDescent="0.3">
      <c r="B42" s="96"/>
      <c r="C42" s="14" t="s">
        <v>45</v>
      </c>
      <c r="D42" s="67">
        <v>1</v>
      </c>
      <c r="E42" s="3">
        <v>0</v>
      </c>
      <c r="F42" s="3">
        <v>0</v>
      </c>
      <c r="G42" s="3">
        <v>0</v>
      </c>
      <c r="H42" s="3">
        <v>1</v>
      </c>
      <c r="I42" s="8">
        <v>1</v>
      </c>
      <c r="J42" s="7" t="s">
        <v>20</v>
      </c>
      <c r="K42" s="20" t="s">
        <v>20</v>
      </c>
      <c r="L42" s="56" t="s">
        <v>7</v>
      </c>
      <c r="M42" s="14">
        <f t="shared" si="0"/>
        <v>2</v>
      </c>
      <c r="N42" s="60" t="str" cm="1">
        <f t="array" ref="N42">DEC2HEX(SUMPRODUCT(D42:K42,2^($D$3:$K$3)),2)</f>
        <v>8C</v>
      </c>
      <c r="O42" s="48">
        <v>80</v>
      </c>
      <c r="P42" s="42" t="s">
        <v>83</v>
      </c>
      <c r="Q42" s="69" t="s">
        <v>95</v>
      </c>
      <c r="R42" s="76" t="s">
        <v>122</v>
      </c>
      <c r="S42" s="77"/>
      <c r="T42" s="12"/>
      <c r="W42" s="14">
        <v>0</v>
      </c>
      <c r="AK42" t="s">
        <v>91</v>
      </c>
    </row>
    <row r="43" spans="2:37" ht="15" customHeight="1" x14ac:dyDescent="0.3">
      <c r="B43" s="35" t="s">
        <v>54</v>
      </c>
      <c r="C43" s="14" t="s">
        <v>35</v>
      </c>
      <c r="D43" s="67">
        <v>1</v>
      </c>
      <c r="E43" s="3">
        <v>0</v>
      </c>
      <c r="F43" s="3">
        <v>0</v>
      </c>
      <c r="G43" s="3">
        <v>1</v>
      </c>
      <c r="H43" s="9" t="s">
        <v>21</v>
      </c>
      <c r="I43" s="9" t="s">
        <v>21</v>
      </c>
      <c r="J43" s="7" t="s">
        <v>20</v>
      </c>
      <c r="K43" s="20" t="s">
        <v>20</v>
      </c>
      <c r="L43" s="56" t="s">
        <v>25</v>
      </c>
      <c r="M43" s="14">
        <f t="shared" si="0"/>
        <v>1</v>
      </c>
      <c r="N43" s="60" t="str" cm="1">
        <f t="array" ref="N43">DEC2HEX(SUMPRODUCT(D43:K43,2^($D$3:$K$3)),2)</f>
        <v>90</v>
      </c>
      <c r="O43" s="49">
        <v>90</v>
      </c>
      <c r="P43" s="42" t="s">
        <v>81</v>
      </c>
      <c r="Q43" s="69" t="s">
        <v>96</v>
      </c>
      <c r="R43" s="76" t="s">
        <v>149</v>
      </c>
      <c r="S43" s="77" t="s">
        <v>152</v>
      </c>
      <c r="T43" s="12"/>
      <c r="W43" s="14">
        <v>1</v>
      </c>
      <c r="AK43" t="s">
        <v>91</v>
      </c>
    </row>
    <row r="44" spans="2:37" ht="15" customHeight="1" x14ac:dyDescent="0.3">
      <c r="B44" s="36" t="s">
        <v>29</v>
      </c>
      <c r="C44" s="14" t="s">
        <v>29</v>
      </c>
      <c r="D44" s="67">
        <v>1</v>
      </c>
      <c r="E44" s="3">
        <v>0</v>
      </c>
      <c r="F44" s="3">
        <v>1</v>
      </c>
      <c r="G44" s="3">
        <v>0</v>
      </c>
      <c r="H44" s="9" t="s">
        <v>21</v>
      </c>
      <c r="I44" s="9" t="s">
        <v>21</v>
      </c>
      <c r="J44" s="7" t="s">
        <v>20</v>
      </c>
      <c r="K44" s="20" t="s">
        <v>20</v>
      </c>
      <c r="L44" s="56" t="s">
        <v>25</v>
      </c>
      <c r="M44" s="14">
        <f t="shared" si="0"/>
        <v>1</v>
      </c>
      <c r="N44" s="60" t="str" cm="1">
        <f t="array" ref="N44">DEC2HEX(SUMPRODUCT(D44:K44,2^($D$3:$K$3)),2)</f>
        <v>A0</v>
      </c>
      <c r="O44" s="50" t="s">
        <v>76</v>
      </c>
      <c r="P44" s="42" t="s">
        <v>81</v>
      </c>
      <c r="Q44" s="69" t="s">
        <v>95</v>
      </c>
      <c r="R44" s="76" t="s">
        <v>123</v>
      </c>
      <c r="S44" s="77"/>
      <c r="T44" s="12"/>
      <c r="W44" s="14">
        <v>0</v>
      </c>
      <c r="AK44" t="s">
        <v>91</v>
      </c>
    </row>
    <row r="45" spans="2:37" ht="15" customHeight="1" x14ac:dyDescent="0.3">
      <c r="B45" s="93" t="s">
        <v>60</v>
      </c>
      <c r="C45" s="14" t="s">
        <v>46</v>
      </c>
      <c r="D45" s="67">
        <v>1</v>
      </c>
      <c r="E45" s="3">
        <v>0</v>
      </c>
      <c r="F45" s="3">
        <v>1</v>
      </c>
      <c r="G45" s="3">
        <v>1</v>
      </c>
      <c r="H45" s="10">
        <v>0</v>
      </c>
      <c r="I45" s="11">
        <v>0</v>
      </c>
      <c r="J45" s="7" t="s">
        <v>20</v>
      </c>
      <c r="K45" s="20" t="s">
        <v>20</v>
      </c>
      <c r="L45" s="56" t="s">
        <v>23</v>
      </c>
      <c r="M45" s="14">
        <f t="shared" si="0"/>
        <v>2</v>
      </c>
      <c r="N45" s="60" t="str" cm="1">
        <f t="array" ref="N45">DEC2HEX(SUMPRODUCT(D45:K45,2^($D$3:$K$3)),2)</f>
        <v>B0</v>
      </c>
      <c r="O45" s="45" t="s">
        <v>77</v>
      </c>
      <c r="P45" s="42" t="s">
        <v>83</v>
      </c>
      <c r="Q45" s="69" t="s">
        <v>95</v>
      </c>
      <c r="R45" s="76" t="s">
        <v>124</v>
      </c>
      <c r="S45" s="77"/>
      <c r="T45" s="12"/>
      <c r="W45" s="14">
        <v>0</v>
      </c>
      <c r="AK45" t="s">
        <v>91</v>
      </c>
    </row>
    <row r="46" spans="2:37" ht="15" customHeight="1" x14ac:dyDescent="0.3">
      <c r="B46" s="93"/>
      <c r="C46" s="14" t="s">
        <v>47</v>
      </c>
      <c r="D46" s="67">
        <v>1</v>
      </c>
      <c r="E46" s="3">
        <v>0</v>
      </c>
      <c r="F46" s="3">
        <v>1</v>
      </c>
      <c r="G46" s="3">
        <v>1</v>
      </c>
      <c r="H46" s="3">
        <v>0</v>
      </c>
      <c r="I46" s="8">
        <v>1</v>
      </c>
      <c r="J46" s="7" t="s">
        <v>20</v>
      </c>
      <c r="K46" s="20" t="s">
        <v>20</v>
      </c>
      <c r="L46" s="56" t="s">
        <v>7</v>
      </c>
      <c r="M46" s="14">
        <f t="shared" si="0"/>
        <v>2</v>
      </c>
      <c r="N46" s="60" t="str" cm="1">
        <f t="array" ref="N46">DEC2HEX(SUMPRODUCT(D46:K46,2^($D$3:$K$3)),2)</f>
        <v>B4</v>
      </c>
      <c r="O46" s="45" t="s">
        <v>77</v>
      </c>
      <c r="P46" s="42" t="s">
        <v>83</v>
      </c>
      <c r="Q46" s="69" t="s">
        <v>95</v>
      </c>
      <c r="R46" s="76" t="s">
        <v>125</v>
      </c>
      <c r="S46" s="77"/>
      <c r="T46" s="12"/>
      <c r="W46" s="14">
        <v>0</v>
      </c>
      <c r="AK46" t="s">
        <v>91</v>
      </c>
    </row>
    <row r="47" spans="2:37" ht="15" customHeight="1" x14ac:dyDescent="0.3">
      <c r="B47" s="93"/>
      <c r="C47" s="14" t="s">
        <v>48</v>
      </c>
      <c r="D47" s="67">
        <v>1</v>
      </c>
      <c r="E47" s="3">
        <v>0</v>
      </c>
      <c r="F47" s="3">
        <v>1</v>
      </c>
      <c r="G47" s="3">
        <v>1</v>
      </c>
      <c r="H47" s="3">
        <v>1</v>
      </c>
      <c r="I47" s="6">
        <v>0</v>
      </c>
      <c r="J47" s="7" t="s">
        <v>20</v>
      </c>
      <c r="K47" s="20" t="s">
        <v>20</v>
      </c>
      <c r="L47" s="56" t="s">
        <v>23</v>
      </c>
      <c r="M47" s="14">
        <f t="shared" si="0"/>
        <v>2</v>
      </c>
      <c r="N47" s="60" t="str" cm="1">
        <f t="array" ref="N47">DEC2HEX(SUMPRODUCT(D47:K47,2^($D$3:$K$3)),2)</f>
        <v>B8</v>
      </c>
      <c r="O47" s="45" t="s">
        <v>77</v>
      </c>
      <c r="P47" s="42" t="s">
        <v>83</v>
      </c>
      <c r="Q47" s="69" t="s">
        <v>95</v>
      </c>
      <c r="R47" s="76" t="s">
        <v>126</v>
      </c>
      <c r="S47" s="77"/>
      <c r="T47" s="12"/>
      <c r="W47" s="14">
        <v>0</v>
      </c>
      <c r="AK47" t="s">
        <v>91</v>
      </c>
    </row>
    <row r="48" spans="2:37" ht="15" customHeight="1" x14ac:dyDescent="0.3">
      <c r="B48" s="93"/>
      <c r="C48" s="14" t="s">
        <v>49</v>
      </c>
      <c r="D48" s="67">
        <v>1</v>
      </c>
      <c r="E48" s="3">
        <v>0</v>
      </c>
      <c r="F48" s="3">
        <v>1</v>
      </c>
      <c r="G48" s="3">
        <v>1</v>
      </c>
      <c r="H48" s="3">
        <v>1</v>
      </c>
      <c r="I48" s="8">
        <v>1</v>
      </c>
      <c r="J48" s="7" t="s">
        <v>20</v>
      </c>
      <c r="K48" s="20" t="s">
        <v>20</v>
      </c>
      <c r="L48" s="56" t="s">
        <v>7</v>
      </c>
      <c r="M48" s="14">
        <f t="shared" si="0"/>
        <v>2</v>
      </c>
      <c r="N48" s="60" t="str" cm="1">
        <f t="array" ref="N48">DEC2HEX(SUMPRODUCT(D48:K48,2^($D$3:$K$3)),2)</f>
        <v>BC</v>
      </c>
      <c r="O48" s="45" t="s">
        <v>77</v>
      </c>
      <c r="P48" s="42" t="s">
        <v>83</v>
      </c>
      <c r="Q48" s="69" t="s">
        <v>95</v>
      </c>
      <c r="R48" s="76" t="s">
        <v>127</v>
      </c>
      <c r="S48" s="77"/>
      <c r="T48" s="12"/>
      <c r="W48" s="14">
        <v>0</v>
      </c>
      <c r="AK48" t="s">
        <v>91</v>
      </c>
    </row>
    <row r="49" spans="2:37" ht="15" customHeight="1" x14ac:dyDescent="0.3">
      <c r="B49" s="37" t="s">
        <v>30</v>
      </c>
      <c r="C49" s="14" t="s">
        <v>30</v>
      </c>
      <c r="D49" s="67">
        <v>1</v>
      </c>
      <c r="E49" s="3">
        <v>1</v>
      </c>
      <c r="F49" s="3">
        <v>0</v>
      </c>
      <c r="G49" s="3">
        <v>0</v>
      </c>
      <c r="H49" s="9" t="s">
        <v>21</v>
      </c>
      <c r="I49" s="9" t="s">
        <v>21</v>
      </c>
      <c r="J49" s="7" t="s">
        <v>20</v>
      </c>
      <c r="K49" s="20" t="s">
        <v>20</v>
      </c>
      <c r="L49" s="56" t="s">
        <v>25</v>
      </c>
      <c r="M49" s="14">
        <f t="shared" si="0"/>
        <v>1</v>
      </c>
      <c r="N49" s="60" t="str" cm="1">
        <f t="array" ref="N49">DEC2HEX(SUMPRODUCT(D49:K49,2^($D$3:$K$3)),2)</f>
        <v>C0</v>
      </c>
      <c r="O49" s="47" t="s">
        <v>78</v>
      </c>
      <c r="P49" s="42" t="s">
        <v>81</v>
      </c>
      <c r="Q49" s="69" t="s">
        <v>95</v>
      </c>
      <c r="R49" s="76" t="s">
        <v>128</v>
      </c>
      <c r="S49" s="77"/>
      <c r="T49" s="12"/>
      <c r="W49" s="14">
        <v>0</v>
      </c>
      <c r="AK49" t="s">
        <v>91</v>
      </c>
    </row>
    <row r="50" spans="2:37" ht="15" customHeight="1" x14ac:dyDescent="0.3">
      <c r="B50" s="34" t="s">
        <v>50</v>
      </c>
      <c r="C50" s="14" t="s">
        <v>50</v>
      </c>
      <c r="D50" s="67">
        <v>1</v>
      </c>
      <c r="E50" s="3">
        <v>1</v>
      </c>
      <c r="F50" s="3">
        <v>0</v>
      </c>
      <c r="G50" s="3">
        <v>1</v>
      </c>
      <c r="H50" s="9" t="s">
        <v>21</v>
      </c>
      <c r="I50" s="9" t="s">
        <v>21</v>
      </c>
      <c r="J50" s="7" t="s">
        <v>20</v>
      </c>
      <c r="K50" s="20" t="s">
        <v>20</v>
      </c>
      <c r="L50" s="56" t="s">
        <v>25</v>
      </c>
      <c r="M50" s="14">
        <f t="shared" si="0"/>
        <v>1</v>
      </c>
      <c r="N50" s="60" t="str" cm="1">
        <f t="array" ref="N50">DEC2HEX(SUMPRODUCT(D50:K50,2^($D$3:$K$3)),2)</f>
        <v>D0</v>
      </c>
      <c r="O50" s="48" t="s">
        <v>79</v>
      </c>
      <c r="P50" s="42" t="s">
        <v>81</v>
      </c>
      <c r="Q50" s="69" t="s">
        <v>95</v>
      </c>
      <c r="R50" s="76" t="s">
        <v>129</v>
      </c>
      <c r="S50" s="77"/>
      <c r="T50" s="12"/>
      <c r="W50" s="14">
        <v>0</v>
      </c>
      <c r="AK50" t="s">
        <v>91</v>
      </c>
    </row>
    <row r="51" spans="2:37" ht="15" customHeight="1" x14ac:dyDescent="0.3">
      <c r="B51" s="91" t="s">
        <v>67</v>
      </c>
      <c r="C51" s="14" t="s">
        <v>40</v>
      </c>
      <c r="D51" s="67">
        <v>1</v>
      </c>
      <c r="E51" s="3">
        <v>1</v>
      </c>
      <c r="F51" s="3">
        <v>1</v>
      </c>
      <c r="G51" s="3">
        <v>0</v>
      </c>
      <c r="H51" s="3">
        <v>0</v>
      </c>
      <c r="I51" s="3">
        <v>0</v>
      </c>
      <c r="J51" s="7" t="s">
        <v>20</v>
      </c>
      <c r="K51" s="20" t="s">
        <v>20</v>
      </c>
      <c r="L51" s="56" t="s">
        <v>25</v>
      </c>
      <c r="M51" s="14">
        <f t="shared" si="0"/>
        <v>1</v>
      </c>
      <c r="N51" s="60" t="str" cm="1">
        <f t="array" ref="N51">DEC2HEX(SUMPRODUCT(D51:K51,2^($D$3:$K$3)),2)</f>
        <v>E0</v>
      </c>
      <c r="O51" s="49" t="s">
        <v>80</v>
      </c>
      <c r="P51" s="42" t="s">
        <v>83</v>
      </c>
      <c r="Q51" s="69" t="s">
        <v>95</v>
      </c>
      <c r="R51" s="76" t="s">
        <v>130</v>
      </c>
      <c r="S51" s="77"/>
      <c r="T51" s="12"/>
      <c r="W51" s="14">
        <v>0</v>
      </c>
      <c r="AK51" t="s">
        <v>91</v>
      </c>
    </row>
    <row r="52" spans="2:37" ht="15" customHeight="1" x14ac:dyDescent="0.3">
      <c r="B52" s="91"/>
      <c r="C52" s="14" t="s">
        <v>41</v>
      </c>
      <c r="D52" s="67">
        <v>1</v>
      </c>
      <c r="E52" s="3">
        <v>1</v>
      </c>
      <c r="F52" s="3">
        <v>1</v>
      </c>
      <c r="G52" s="3">
        <v>0</v>
      </c>
      <c r="H52" s="3">
        <v>0</v>
      </c>
      <c r="I52" s="3">
        <v>1</v>
      </c>
      <c r="J52" s="7" t="s">
        <v>20</v>
      </c>
      <c r="K52" s="20" t="s">
        <v>20</v>
      </c>
      <c r="L52" s="56" t="s">
        <v>25</v>
      </c>
      <c r="M52" s="14">
        <f t="shared" si="0"/>
        <v>1</v>
      </c>
      <c r="N52" s="60" t="str" cm="1">
        <f t="array" ref="N52">DEC2HEX(SUMPRODUCT(D52:K52,2^($D$3:$K$3)),2)</f>
        <v>E4</v>
      </c>
      <c r="O52" s="49" t="s">
        <v>80</v>
      </c>
      <c r="P52" s="42" t="s">
        <v>83</v>
      </c>
      <c r="Q52" s="69" t="s">
        <v>95</v>
      </c>
      <c r="R52" s="76" t="s">
        <v>131</v>
      </c>
      <c r="S52" s="77"/>
      <c r="T52" s="12"/>
      <c r="W52" s="14">
        <v>0</v>
      </c>
      <c r="AK52" t="s">
        <v>91</v>
      </c>
    </row>
    <row r="53" spans="2:37" ht="15" customHeight="1" x14ac:dyDescent="0.3">
      <c r="B53" s="92" t="s">
        <v>61</v>
      </c>
      <c r="C53" s="14" t="s">
        <v>65</v>
      </c>
      <c r="D53" s="67">
        <v>1</v>
      </c>
      <c r="E53" s="3">
        <v>1</v>
      </c>
      <c r="F53" s="3">
        <v>1</v>
      </c>
      <c r="G53" s="3">
        <v>0</v>
      </c>
      <c r="H53" s="3">
        <v>1</v>
      </c>
      <c r="I53" s="6">
        <v>0</v>
      </c>
      <c r="J53" s="7" t="s">
        <v>20</v>
      </c>
      <c r="K53" s="20" t="s">
        <v>20</v>
      </c>
      <c r="L53" s="56" t="s">
        <v>23</v>
      </c>
      <c r="M53" s="14">
        <f t="shared" si="0"/>
        <v>2</v>
      </c>
      <c r="N53" s="60" t="str" cm="1">
        <f t="array" ref="N53">DEC2HEX(SUMPRODUCT(D53:K53,2^($D$3:$K$3)),2)</f>
        <v>E8</v>
      </c>
      <c r="O53" s="53" t="s">
        <v>80</v>
      </c>
      <c r="P53" s="42" t="s">
        <v>83</v>
      </c>
      <c r="Q53" s="69" t="s">
        <v>95</v>
      </c>
      <c r="R53" s="76" t="s">
        <v>132</v>
      </c>
      <c r="S53" s="77"/>
      <c r="T53" s="12"/>
      <c r="W53" s="14">
        <v>0</v>
      </c>
      <c r="AK53" t="s">
        <v>91</v>
      </c>
    </row>
    <row r="54" spans="2:37" ht="15" customHeight="1" x14ac:dyDescent="0.3">
      <c r="B54" s="92"/>
      <c r="C54" s="14" t="s">
        <v>66</v>
      </c>
      <c r="D54" s="67">
        <v>1</v>
      </c>
      <c r="E54" s="3">
        <v>1</v>
      </c>
      <c r="F54" s="3">
        <v>1</v>
      </c>
      <c r="G54" s="3">
        <v>0</v>
      </c>
      <c r="H54" s="3">
        <v>1</v>
      </c>
      <c r="I54" s="8">
        <v>1</v>
      </c>
      <c r="J54" s="7" t="s">
        <v>20</v>
      </c>
      <c r="K54" s="20" t="s">
        <v>20</v>
      </c>
      <c r="L54" s="56" t="s">
        <v>7</v>
      </c>
      <c r="M54" s="14">
        <f t="shared" si="0"/>
        <v>2</v>
      </c>
      <c r="N54" s="60" t="str" cm="1">
        <f t="array" ref="N54">DEC2HEX(SUMPRODUCT(D54:K54,2^($D$3:$K$3)),2)</f>
        <v>EC</v>
      </c>
      <c r="O54" s="53" t="s">
        <v>80</v>
      </c>
      <c r="P54" s="42" t="s">
        <v>83</v>
      </c>
      <c r="Q54" s="69" t="s">
        <v>95</v>
      </c>
      <c r="R54" s="76" t="s">
        <v>133</v>
      </c>
      <c r="S54" s="77"/>
      <c r="T54" s="12"/>
      <c r="W54" s="14">
        <v>0</v>
      </c>
      <c r="AK54" t="s">
        <v>91</v>
      </c>
    </row>
    <row r="55" spans="2:37" ht="15" customHeight="1" thickBot="1" x14ac:dyDescent="0.35">
      <c r="B55" s="38" t="s">
        <v>71</v>
      </c>
      <c r="C55" s="39" t="s">
        <v>4</v>
      </c>
      <c r="D55" s="68">
        <v>1</v>
      </c>
      <c r="E55" s="1">
        <v>1</v>
      </c>
      <c r="F55" s="1">
        <v>1</v>
      </c>
      <c r="G55" s="1">
        <v>1</v>
      </c>
      <c r="H55" s="1">
        <v>0</v>
      </c>
      <c r="I55" s="1">
        <v>0</v>
      </c>
      <c r="J55" s="1">
        <v>0</v>
      </c>
      <c r="K55" s="40">
        <v>0</v>
      </c>
      <c r="L55" s="57" t="s">
        <v>25</v>
      </c>
      <c r="M55" s="41">
        <f t="shared" si="0"/>
        <v>1</v>
      </c>
      <c r="N55" s="61" t="str" cm="1">
        <f t="array" ref="N55">DEC2HEX(SUMPRODUCT(D55:K55,2^($D$3:$K$3)),2)</f>
        <v>F0</v>
      </c>
      <c r="O55" s="51" t="s">
        <v>81</v>
      </c>
      <c r="P55" s="42" t="s">
        <v>81</v>
      </c>
      <c r="Q55" s="70" t="s">
        <v>91</v>
      </c>
      <c r="R55" s="78"/>
      <c r="S55" s="79"/>
      <c r="T55" s="12"/>
      <c r="W55" s="39"/>
      <c r="AK55" t="s">
        <v>91</v>
      </c>
    </row>
  </sheetData>
  <mergeCells count="12">
    <mergeCell ref="B51:B52"/>
    <mergeCell ref="B53:B54"/>
    <mergeCell ref="B29:B32"/>
    <mergeCell ref="B33:B34"/>
    <mergeCell ref="B35:B38"/>
    <mergeCell ref="B39:B42"/>
    <mergeCell ref="B45:B48"/>
    <mergeCell ref="B24:B27"/>
    <mergeCell ref="B20:B23"/>
    <mergeCell ref="D2:K2"/>
    <mergeCell ref="B4:B11"/>
    <mergeCell ref="B12:B19"/>
  </mergeCells>
  <conditionalFormatting sqref="L4:L55">
    <cfRule type="containsText" dxfId="5" priority="1" operator="containsText" text="NA">
      <formula>NOT(ISERROR(SEARCH("NA",L4)))</formula>
    </cfRule>
    <cfRule type="containsText" dxfId="4" priority="2" operator="containsText" text="addr">
      <formula>NOT(ISERROR(SEARCH("addr",L4)))</formula>
    </cfRule>
    <cfRule type="containsText" dxfId="3" priority="8" operator="containsText" text="imm">
      <formula>NOT(ISERROR(SEARCH("imm",L4)))</formula>
    </cfRule>
  </conditionalFormatting>
  <conditionalFormatting sqref="M4:M55">
    <cfRule type="colorScale" priority="3">
      <colorScale>
        <cfvo type="num" val="1"/>
        <cfvo type="num" val="2"/>
        <color theme="6" tint="0.79998168889431442"/>
        <color theme="8" tint="0.79998168889431442"/>
      </colorScale>
    </cfRule>
  </conditionalFormatting>
  <conditionalFormatting sqref="P4:P55">
    <cfRule type="containsText" dxfId="2" priority="4" operator="containsText" text="FF">
      <formula>NOT(ISERROR(SEARCH("FF",P4)))</formula>
    </cfRule>
    <cfRule type="containsText" dxfId="1" priority="5" operator="containsText" text="FC">
      <formula>NOT(ISERROR(SEARCH("FC",P4)))</formula>
    </cfRule>
    <cfRule type="containsText" dxfId="0" priority="6" operator="containsText" text="F0">
      <formula>NOT(ISERROR(SEARCH("F0",P4)))</formula>
    </cfRule>
  </conditionalFormatting>
  <conditionalFormatting sqref="W4:W55">
    <cfRule type="colorScale" priority="7">
      <colorScale>
        <cfvo type="num" val="0"/>
        <cfvo type="num" val="1"/>
        <color rgb="FFFF5050"/>
        <color theme="9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Capdet</dc:creator>
  <cp:lastModifiedBy>Mathias Capdet</cp:lastModifiedBy>
  <dcterms:created xsi:type="dcterms:W3CDTF">2025-12-14T20:21:14Z</dcterms:created>
  <dcterms:modified xsi:type="dcterms:W3CDTF">2025-12-19T15:28:21Z</dcterms:modified>
</cp:coreProperties>
</file>