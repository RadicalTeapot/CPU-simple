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9CF2C160-A924-46E7-90E0-951236982CFE}" xr6:coauthVersionLast="47" xr6:coauthVersionMax="47" xr10:uidLastSave="{00000000-0000-0000-0000-000000000000}"/>
  <bookViews>
    <workbookView xWindow="-108" yWindow="-108" windowWidth="23256" windowHeight="13896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" l="1" a="1"/>
  <c r="N24" i="1" s="1"/>
  <c r="M24" i="1"/>
  <c r="AA3" i="1"/>
  <c r="X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<sst xmlns="http://schemas.openxmlformats.org/spreadsheetml/2006/main" count="463" uniqueCount="167">
  <si>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</si>
  <si>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</si>
  <si>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</si>
  <si>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</si>
  <si>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</si>
  <si>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</si>
  <si>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</si>
  <si>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</si>
  <si>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</si>
  <si>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</si>
  <si>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</si>
  <si>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</si>
  <si>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</si>
  <si>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</si>
  <si>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</si>
  <si>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</si>
  <si>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</si>
  <si>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</si>
  <si>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</si>
  <si>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</si>
  <si>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</si>
  <si>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</si>
  <si>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</si>
  <si>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</si>
  <si>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</si>
  <si>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</si>
  <si>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</si>
  <si>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</si>
  <si>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</si>
  <si>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</si>
  <si>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</si>
  <si>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</si>
  <si>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</si>
  <si>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</si>
  <si>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</si>
  <si>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</si>
  <si>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</si>
  <si>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</si>
  <si>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</si>
  <si>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</si>
  <si>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</si>
  <si>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</si>
  <si>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</si>
  <si>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</si>
  <si>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</si>
  <si>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</si>
  <si>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</si>
  <si>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</si>
  <si>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</si>
  <si>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</si>
  <si>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</si>
  <si>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</si>
  <si>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</si>
  <si>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</si>
  <si>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</si>
  <si>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</si>
  <si>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</si>
  <si>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</si>
  <si>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</si>
  <si>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</si>
  <si>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</si>
  <si>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</si>
  <si>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</si>
  <si>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</si>
  <si>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</si>
  <si>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</si>
  <si>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</si>
  <si>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</si>
  <si>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</si>
  <si>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</si>
  <si>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</si>
  <si>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</si>
  <si>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</si>
  <si>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</si>
  <si>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</si>
  <si>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</si>
  <si>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</si>
  <si>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</si>
  <si>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</si>
  <si>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</si>
  <si>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</si>
  <si>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</si>
  <si>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</si>
  <si>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</si>
  <si>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</si>
  <si>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</si>
  <si>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</si>
  <si>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</si>
  <si>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</si>
  <si>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</si>
  <si>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</si>
  <si>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</si>
  <si>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</si>
  <si>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</si>
  <si>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</si>
  <si>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</si>
  <si>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</si>
  <si>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</si>
  <si>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</si>
  <si>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</si>
  <si>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</si>
  <si>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</si>
  <si>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</si>
  <si>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</si>
  <si>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</si>
  <si>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</si>
  <si>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</si>
  <si>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</si>
  <si>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</si>
  <si>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</si>
  <si>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</si>
  <si>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</si>
  <si>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</si>
  <si>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</si>
  <si>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</si>
  <si>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</si>
  <si>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</si>
  <si>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</si>
  <si>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</si>
  <si>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</si>
  <si>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</si>
  <si>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</si>
  <si>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</si>
  <si>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</si>
  <si>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</si>
  <si>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</si>
  <si>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</si>
  <si>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</si>
  <si>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</si>
  <si>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</si>
  <si>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</si>
  <si>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</si>
  <si>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</si>
  <si>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</si>
  <si>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</si>
  <si>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</si>
  <si>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</si>
  <si>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</si>
  <si>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</si>
  <si>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</si>
  <si>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</si>
  <si>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</si>
  <si>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</si>
  <si>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</si>
  <si>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</si>
  <si>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</si>
  <si>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</si>
  <si>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</si>
  <si>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</si>
  <si>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</si>
  <si>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</si>
  <si>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</si>
  <si>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</si>
  <si>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</si>
  <si>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</si>
  <si>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</si>
  <si>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</si>
  <si>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</si>
  <si>
    <t>Analysis</t>
  </si>
  <si>
    <t>Peek top stack value into register</t>
  </si>
  <si>
    <t>INDIRECT</t>
  </si>
  <si>
    <t>LDX</t>
  </si>
  <si>
    <t>STX</t>
  </si>
  <si>
    <t>reg + imm</t>
  </si>
  <si>
    <t>Load value pointed to by address in (reg + imm) into rd</t>
  </si>
  <si>
    <t>Store value in rs into memory at address into (reg + imm)</t>
  </si>
  <si>
    <t>The low 2 bits are used for the register idx, the remaining high 6 bits are for the immediate offset (max 63, only positive)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</si>
</sst>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17" borderId="12" xfId="0" applyFill="1" applyBorder="1"/>
    <xf numFmtId="0" fontId="0" fillId="0" borderId="19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0" xfId="0" applyBorder="1"/>
    <xf numFmtId="0" fontId="0" fillId="0" borderId="36" xfId="0" applyBorder="1"/>
    <xf numFmtId="0" fontId="0" fillId="0" borderId="18" xfId="0" applyBorder="1"/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29" xfId="0" applyBorder="1"/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A12" zoomScale="114" zoomScaleNormal="114" workbookViewId="0">
      <selection activeCell="AD36" sqref="AD36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10.5546875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5.21875" bestFit="1" customWidth="1"/>
    <col min="18" max="18" width="47" hidden="1" customWidth="1"/>
    <col min="19" max="19" width="87.109375" hidden="1" customWidth="1"/>
    <col min="20" max="20" width="6.6640625" customWidth="1"/>
    <col min="21" max="21" width="17.33203125" customWidth="1"/>
    <col min="22" max="22" width="0.88671875" customWidth="1"/>
    <col min="23" max="23" width="11.77734375" bestFit="1" customWidth="1"/>
    <col min="24" max="24" width="6.88671875" customWidth="1"/>
    <col min="25" max="25" width="1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7" t="s">
        <v>1</v>
      </c>
      <c r="E2" s="88"/>
      <c r="F2" s="88"/>
      <c r="G2" s="88"/>
      <c r="H2" s="88"/>
      <c r="I2" s="88"/>
      <c r="J2" s="88"/>
      <c r="K2" s="89"/>
    </row>
    <row r="3" spans="2:37" ht="15" customHeight="1" thickBot="1" x14ac:dyDescent="0.35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48/48</v>
      </c>
      <c r="Z3" s="72" t="s">
        <v>158</v>
      </c>
      <c r="AA3" s="80" t="str">
        <f>_xlfn.TEXTJOIN("/",TRUE,TEXT(COUNTIF(Z4:Z55,1),"0"), TEXT(COUNTIF(Z4:Z55,"&gt;=0"),"0"))</f>
        <v>48/48</v>
      </c>
      <c r="AK3" t="s">
        <v>88</v>
      </c>
    </row>
    <row r="4" spans="2:37" ht="15" customHeight="1" x14ac:dyDescent="0.3">
      <c r="B4" s="91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Z4" s="62">
        <v>1</v>
      </c>
      <c r="AK4" t="s">
        <v>88</v>
      </c>
    </row>
    <row r="5" spans="2:37" ht="15" customHeight="1" x14ac:dyDescent="0.3">
      <c r="B5" s="92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Z5" s="14">
        <v>1</v>
      </c>
      <c r="AK5" t="s">
        <v>88</v>
      </c>
    </row>
    <row r="6" spans="2:37" ht="15" customHeight="1" x14ac:dyDescent="0.3">
      <c r="B6" s="92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Z6" s="14">
        <v>1</v>
      </c>
      <c r="AK6" t="s">
        <v>88</v>
      </c>
    </row>
    <row r="7" spans="2:37" ht="15" customHeight="1" x14ac:dyDescent="0.3">
      <c r="B7" s="92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Z7" s="14">
        <v>1</v>
      </c>
      <c r="AK7" t="s">
        <v>88</v>
      </c>
    </row>
    <row r="8" spans="2:37" ht="15" customHeight="1" x14ac:dyDescent="0.3">
      <c r="B8" s="92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Z8" s="14">
        <v>1</v>
      </c>
      <c r="AK8" t="s">
        <v>88</v>
      </c>
    </row>
    <row r="9" spans="2:37" ht="15" customHeight="1" x14ac:dyDescent="0.3">
      <c r="B9" s="92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Z9" s="14">
        <v>1</v>
      </c>
      <c r="AK9" t="s">
        <v>88</v>
      </c>
    </row>
    <row r="10" spans="2:37" ht="15" customHeight="1" x14ac:dyDescent="0.3">
      <c r="B10" s="92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/>
      <c r="S10" s="77"/>
      <c r="T10" s="12"/>
      <c r="U10" s="28" t="s">
        <v>50</v>
      </c>
      <c r="W10" s="15"/>
      <c r="Z10" s="15"/>
      <c r="AK10" t="s">
        <v>88</v>
      </c>
    </row>
    <row r="11" spans="2:37" ht="15" customHeight="1" thickBot="1" x14ac:dyDescent="0.35">
      <c r="B11" s="93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/>
      <c r="S11" s="77"/>
      <c r="T11" s="12"/>
      <c r="U11" s="63" t="s">
        <v>49</v>
      </c>
      <c r="W11" s="15"/>
      <c r="Z11" s="15"/>
      <c r="AK11" t="s">
        <v>88</v>
      </c>
    </row>
    <row r="12" spans="2:37" ht="15" customHeight="1" x14ac:dyDescent="0.3">
      <c r="B12" s="94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Z12" s="14">
        <v>1</v>
      </c>
      <c r="AK12" t="s">
        <v>88</v>
      </c>
    </row>
    <row r="13" spans="2:37" ht="15" customHeight="1" x14ac:dyDescent="0.3">
      <c r="B13" s="95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24</v>
      </c>
      <c r="M13" s="14">
        <f t="shared" si="0"/>
        <v>1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/>
      <c r="S13" s="77"/>
      <c r="T13" s="12"/>
      <c r="W13" s="15"/>
      <c r="Z13" s="15"/>
      <c r="AK13" t="s">
        <v>88</v>
      </c>
    </row>
    <row r="14" spans="2:37" ht="15" customHeight="1" x14ac:dyDescent="0.3">
      <c r="B14" s="95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Z14" s="14">
        <v>1</v>
      </c>
      <c r="AK14" t="s">
        <v>88</v>
      </c>
    </row>
    <row r="15" spans="2:37" ht="15" customHeight="1" x14ac:dyDescent="0.3">
      <c r="B15" s="95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Z15" s="14">
        <v>1</v>
      </c>
      <c r="AK15" t="s">
        <v>88</v>
      </c>
    </row>
    <row r="16" spans="2:37" ht="15" customHeight="1" x14ac:dyDescent="0.3">
      <c r="B16" s="95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Z16" s="14">
        <v>1</v>
      </c>
      <c r="AK16" t="s">
        <v>88</v>
      </c>
    </row>
    <row r="17" spans="2:37" ht="15" customHeight="1" x14ac:dyDescent="0.3">
      <c r="B17" s="95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Z17" s="14">
        <v>1</v>
      </c>
      <c r="AK17" t="s">
        <v>88</v>
      </c>
    </row>
    <row r="18" spans="2:37" ht="15" customHeight="1" x14ac:dyDescent="0.3">
      <c r="B18" s="95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Z18" s="14">
        <v>1</v>
      </c>
      <c r="AK18" t="s">
        <v>88</v>
      </c>
    </row>
    <row r="19" spans="2:37" ht="15" customHeight="1" x14ac:dyDescent="0.3">
      <c r="B19" s="96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Z19" s="14">
        <v>1</v>
      </c>
      <c r="AK19" t="s">
        <v>88</v>
      </c>
    </row>
    <row r="20" spans="2:37" ht="15" customHeight="1" x14ac:dyDescent="0.3">
      <c r="B20" s="90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Z20" s="14">
        <v>1</v>
      </c>
      <c r="AK20" t="s">
        <v>88</v>
      </c>
    </row>
    <row r="21" spans="2:37" ht="15" customHeight="1" x14ac:dyDescent="0.3">
      <c r="B21" s="90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Z21" s="14">
        <v>1</v>
      </c>
      <c r="AK21" t="s">
        <v>88</v>
      </c>
    </row>
    <row r="22" spans="2:37" ht="15" customHeight="1" x14ac:dyDescent="0.3">
      <c r="B22" s="90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Z22" s="14">
        <v>1</v>
      </c>
      <c r="AK22" t="s">
        <v>88</v>
      </c>
    </row>
    <row r="23" spans="2:37" ht="15" customHeight="1" x14ac:dyDescent="0.3">
      <c r="B23" s="90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 t="s">
        <v>159</v>
      </c>
      <c r="S23" s="77"/>
      <c r="T23" s="12"/>
      <c r="W23" s="15">
        <v>1</v>
      </c>
      <c r="Z23" s="15">
        <v>1</v>
      </c>
      <c r="AK23" t="s">
        <v>88</v>
      </c>
    </row>
    <row r="24" spans="2:37" ht="15" customHeight="1" x14ac:dyDescent="0.3">
      <c r="B24" s="97" t="s">
        <v>25</v>
      </c>
      <c r="C24" s="14" t="s">
        <v>156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9" t="s">
        <v>20</v>
      </c>
      <c r="K24" s="21" t="s">
        <v>20</v>
      </c>
      <c r="L24" s="56" t="s">
        <v>24</v>
      </c>
      <c r="M24" s="14">
        <f t="shared" ref="M24" si="1">IF(L24="NA",1,2)</f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 t="s">
        <v>110</v>
      </c>
      <c r="S24" s="77"/>
      <c r="T24" s="12"/>
      <c r="W24" s="14">
        <v>1</v>
      </c>
      <c r="Z24" s="14">
        <v>1</v>
      </c>
      <c r="AK24" t="s">
        <v>88</v>
      </c>
    </row>
    <row r="25" spans="2:37" ht="15" customHeight="1" x14ac:dyDescent="0.3">
      <c r="B25" s="98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Z25" s="14">
        <v>1</v>
      </c>
      <c r="AK25" t="s">
        <v>88</v>
      </c>
    </row>
    <row r="26" spans="2:37" ht="15" customHeight="1" x14ac:dyDescent="0.3">
      <c r="B26" s="82" t="s">
        <v>160</v>
      </c>
      <c r="C26" s="14" t="s">
        <v>161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7" t="s">
        <v>19</v>
      </c>
      <c r="K26" s="20" t="s">
        <v>19</v>
      </c>
      <c r="L26" s="56" t="s">
        <v>163</v>
      </c>
      <c r="M26" s="14">
        <f t="shared" si="0"/>
        <v>2</v>
      </c>
      <c r="N26" s="60" t="str" cm="1">
        <f t="array" ref="N26">DEC2HEX(SUMPRODUCT(D26:K26,2^($D$3:$K$3)),2)</f>
        <v>28</v>
      </c>
      <c r="O26" s="53">
        <v>20</v>
      </c>
      <c r="P26" s="42" t="s">
        <v>80</v>
      </c>
      <c r="Q26" s="69" t="s">
        <v>88</v>
      </c>
      <c r="R26" s="76" t="s">
        <v>164</v>
      </c>
      <c r="S26" s="77" t="s">
        <v>166</v>
      </c>
      <c r="T26" s="12"/>
      <c r="W26" s="14">
        <v>1</v>
      </c>
      <c r="Z26" s="14">
        <v>1</v>
      </c>
      <c r="AK26" t="s">
        <v>88</v>
      </c>
    </row>
    <row r="27" spans="2:37" ht="15" customHeight="1" x14ac:dyDescent="0.3">
      <c r="B27" s="82"/>
      <c r="C27" s="14" t="s">
        <v>162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9" t="s">
        <v>20</v>
      </c>
      <c r="K27" s="21" t="s">
        <v>20</v>
      </c>
      <c r="L27" s="56" t="s">
        <v>163</v>
      </c>
      <c r="M27" s="14">
        <f t="shared" si="0"/>
        <v>2</v>
      </c>
      <c r="N27" s="60" t="str" cm="1">
        <f t="array" ref="N27">DEC2HEX(SUMPRODUCT(D27:K27,2^($D$3:$K$3)),2)</f>
        <v>2C</v>
      </c>
      <c r="O27" s="53">
        <v>20</v>
      </c>
      <c r="P27" s="42" t="s">
        <v>80</v>
      </c>
      <c r="Q27" s="69" t="s">
        <v>88</v>
      </c>
      <c r="R27" s="76" t="s">
        <v>165</v>
      </c>
      <c r="S27" s="77" t="s">
        <v>166</v>
      </c>
      <c r="T27" s="12"/>
      <c r="W27" s="15">
        <v>1</v>
      </c>
      <c r="Z27" s="15">
        <v>1</v>
      </c>
      <c r="AK27" t="s">
        <v>88</v>
      </c>
    </row>
    <row r="28" spans="2:37" ht="15" customHeight="1" x14ac:dyDescent="0.3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Z28" s="14">
        <v>1</v>
      </c>
      <c r="AK28" t="s">
        <v>88</v>
      </c>
    </row>
    <row r="29" spans="2:37" ht="15" customHeight="1" x14ac:dyDescent="0.3">
      <c r="B29" s="83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Z29" s="14">
        <v>1</v>
      </c>
      <c r="AK29" t="s">
        <v>88</v>
      </c>
    </row>
    <row r="30" spans="2:37" ht="15" customHeight="1" x14ac:dyDescent="0.3">
      <c r="B30" s="83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Z30" s="14">
        <v>1</v>
      </c>
      <c r="AK30" t="s">
        <v>88</v>
      </c>
    </row>
    <row r="31" spans="2:37" ht="15" customHeight="1" x14ac:dyDescent="0.3">
      <c r="B31" s="83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Z31" s="14">
        <v>1</v>
      </c>
      <c r="AK31" t="s">
        <v>88</v>
      </c>
    </row>
    <row r="32" spans="2:37" ht="15" customHeight="1" x14ac:dyDescent="0.3">
      <c r="B32" s="83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Z32" s="14">
        <v>1</v>
      </c>
      <c r="AK32" t="s">
        <v>88</v>
      </c>
    </row>
    <row r="33" spans="2:37" ht="15" customHeight="1" x14ac:dyDescent="0.3">
      <c r="B33" s="84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Z33" s="14">
        <v>1</v>
      </c>
      <c r="AK33" t="s">
        <v>88</v>
      </c>
    </row>
    <row r="34" spans="2:37" ht="15" customHeight="1" x14ac:dyDescent="0.3">
      <c r="B34" s="84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Z34" s="14">
        <v>1</v>
      </c>
      <c r="AK34" t="s">
        <v>88</v>
      </c>
    </row>
    <row r="35" spans="2:37" ht="15" customHeight="1" x14ac:dyDescent="0.3">
      <c r="B35" s="85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Z35" s="14">
        <v>1</v>
      </c>
      <c r="AK35" t="s">
        <v>88</v>
      </c>
    </row>
    <row r="36" spans="2:37" ht="15" customHeight="1" x14ac:dyDescent="0.3">
      <c r="B36" s="85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Z36" s="14">
        <v>1</v>
      </c>
      <c r="AK36" t="s">
        <v>88</v>
      </c>
    </row>
    <row r="37" spans="2:37" ht="15" customHeight="1" x14ac:dyDescent="0.3">
      <c r="B37" s="85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Z37" s="14">
        <v>1</v>
      </c>
      <c r="AK37" t="s">
        <v>88</v>
      </c>
    </row>
    <row r="38" spans="2:37" ht="15" customHeight="1" x14ac:dyDescent="0.3">
      <c r="B38" s="85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Z38" s="14">
        <v>1</v>
      </c>
      <c r="AK38" t="s">
        <v>88</v>
      </c>
    </row>
    <row r="39" spans="2:37" ht="15" customHeight="1" x14ac:dyDescent="0.3">
      <c r="B39" s="86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1</v>
      </c>
      <c r="Z39" s="14">
        <v>1</v>
      </c>
      <c r="AK39" t="s">
        <v>88</v>
      </c>
    </row>
    <row r="40" spans="2:37" ht="15" customHeight="1" x14ac:dyDescent="0.3">
      <c r="B40" s="86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1</v>
      </c>
      <c r="Z40" s="14">
        <v>1</v>
      </c>
      <c r="AK40" t="s">
        <v>88</v>
      </c>
    </row>
    <row r="41" spans="2:37" ht="15" customHeight="1" x14ac:dyDescent="0.3">
      <c r="B41" s="86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1</v>
      </c>
      <c r="Z41" s="14">
        <v>1</v>
      </c>
      <c r="AK41" t="s">
        <v>88</v>
      </c>
    </row>
    <row r="42" spans="2:37" ht="15" customHeight="1" x14ac:dyDescent="0.3">
      <c r="B42" s="86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1</v>
      </c>
      <c r="Z42" s="14">
        <v>1</v>
      </c>
      <c r="AK42" t="s">
        <v>88</v>
      </c>
    </row>
    <row r="43" spans="2:37" ht="15" customHeight="1" x14ac:dyDescent="0.3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Z43" s="14">
        <v>1</v>
      </c>
      <c r="AK43" t="s">
        <v>88</v>
      </c>
    </row>
    <row r="44" spans="2:37" ht="15" customHeight="1" x14ac:dyDescent="0.3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1</v>
      </c>
      <c r="Z44" s="14">
        <v>1</v>
      </c>
      <c r="AK44" t="s">
        <v>88</v>
      </c>
    </row>
    <row r="45" spans="2:37" ht="15" customHeight="1" x14ac:dyDescent="0.3">
      <c r="B45" s="83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1</v>
      </c>
      <c r="Z45" s="14">
        <v>1</v>
      </c>
      <c r="AK45" t="s">
        <v>88</v>
      </c>
    </row>
    <row r="46" spans="2:37" ht="15" customHeight="1" x14ac:dyDescent="0.3">
      <c r="B46" s="83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1</v>
      </c>
      <c r="Z46" s="14">
        <v>1</v>
      </c>
      <c r="AK46" t="s">
        <v>88</v>
      </c>
    </row>
    <row r="47" spans="2:37" ht="15" customHeight="1" x14ac:dyDescent="0.3">
      <c r="B47" s="83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1</v>
      </c>
      <c r="Z47" s="14">
        <v>1</v>
      </c>
      <c r="AK47" t="s">
        <v>88</v>
      </c>
    </row>
    <row r="48" spans="2:37" ht="15" customHeight="1" x14ac:dyDescent="0.3">
      <c r="B48" s="83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1</v>
      </c>
      <c r="Z48" s="14">
        <v>1</v>
      </c>
      <c r="AK48" t="s">
        <v>88</v>
      </c>
    </row>
    <row r="49" spans="2:37" ht="15" customHeight="1" x14ac:dyDescent="0.3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1</v>
      </c>
      <c r="Z49" s="14">
        <v>1</v>
      </c>
      <c r="AK49" t="s">
        <v>88</v>
      </c>
    </row>
    <row r="50" spans="2:37" ht="15" customHeight="1" x14ac:dyDescent="0.3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1</v>
      </c>
      <c r="Z50" s="14">
        <v>1</v>
      </c>
      <c r="AK50" t="s">
        <v>88</v>
      </c>
    </row>
    <row r="51" spans="2:37" ht="15" customHeight="1" x14ac:dyDescent="0.3">
      <c r="B51" s="81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1</v>
      </c>
      <c r="Z51" s="14">
        <v>1</v>
      </c>
      <c r="AK51" t="s">
        <v>88</v>
      </c>
    </row>
    <row r="52" spans="2:37" ht="15" customHeight="1" x14ac:dyDescent="0.3">
      <c r="B52" s="81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1</v>
      </c>
      <c r="Z52" s="14">
        <v>1</v>
      </c>
      <c r="AK52" t="s">
        <v>88</v>
      </c>
    </row>
    <row r="53" spans="2:37" ht="15" customHeight="1" x14ac:dyDescent="0.3">
      <c r="B53" s="82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1</v>
      </c>
      <c r="Z53" s="14">
        <v>1</v>
      </c>
      <c r="AK53" t="s">
        <v>88</v>
      </c>
    </row>
    <row r="54" spans="2:37" ht="15" customHeight="1" x14ac:dyDescent="0.3">
      <c r="B54" s="82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1</v>
      </c>
      <c r="Z54" s="14">
        <v>1</v>
      </c>
      <c r="AK54" t="s">
        <v>88</v>
      </c>
    </row>
    <row r="55" spans="2:37" ht="15" customHeight="1" thickBot="1" x14ac:dyDescent="0.35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Z55" s="39"/>
      <c r="AK55" t="s">
        <v>88</v>
      </c>
    </row>
  </sheetData>
  <mergeCells count="13">
    <mergeCell ref="D2:K2"/>
    <mergeCell ref="B20:B23"/>
    <mergeCell ref="B4:B11"/>
    <mergeCell ref="B12:B19"/>
    <mergeCell ref="B24:B25"/>
    <mergeCell ref="B26:B27"/>
    <mergeCell ref="B51:B52"/>
    <mergeCell ref="B53:B54"/>
    <mergeCell ref="B29:B32"/>
    <mergeCell ref="B33:B34"/>
    <mergeCell ref="B35:B38"/>
    <mergeCell ref="B39:B42"/>
    <mergeCell ref="B45:B48"/>
  </mergeCells>
  <conditionalFormatting sqref="L4:L55">
    <cfRule type="containsText" dxfId="5" priority="3" operator="containsText" text="NA">
      <formula>NOT(ISERROR(SEARCH("NA",L4)))</formula>
    </cfRule>
    <cfRule type="containsText" dxfId="4" priority="4" operator="containsText" text="addr">
      <formula>NOT(ISERROR(SEARCH("addr",L4)))</formula>
    </cfRule>
    <cfRule type="containsText" dxfId="3" priority="10" operator="containsText" text="imm">
      <formula>NOT(ISERROR(SEARCH("imm",L4)))</formula>
    </cfRule>
  </conditionalFormatting>
  <conditionalFormatting sqref="M4:M55">
    <cfRule type="colorScale" priority="5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6" operator="containsText" text="FF">
      <formula>NOT(ISERROR(SEARCH("FF",P4)))</formula>
    </cfRule>
    <cfRule type="containsText" dxfId="1" priority="7" operator="containsText" text="FC">
      <formula>NOT(ISERROR(SEARCH("FC",P4)))</formula>
    </cfRule>
    <cfRule type="containsText" dxfId="0" priority="8" operator="containsText" text="F0">
      <formula>NOT(ISERROR(SEARCH("F0",P4)))</formula>
    </cfRule>
  </conditionalFormatting>
  <conditionalFormatting sqref="W4:W55">
    <cfRule type="colorScale" priority="9">
      <colorScale>
        <cfvo type="num" val="0"/>
        <cfvo type="num" val="1"/>
        <color rgb="FFFF5050"/>
        <color theme="9" tint="0.59999389629810485"/>
      </colorScale>
    </cfRule>
  </conditionalFormatting>
  <conditionalFormatting sqref="Z4:Z23 Z25:Z55">
    <cfRule type="colorScale" priority="2">
      <colorScale>
        <cfvo type="num" val="0"/>
        <cfvo type="num" val="1"/>
        <color rgb="FFFF5050"/>
        <color theme="9" tint="0.59999389629810485"/>
      </colorScale>
    </cfRule>
  </conditionalFormatting>
  <conditionalFormatting sqref="Z24">
    <cfRule type="colorScale" priority="1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2026-01-12T19:32:54Z</dcterms:modified>
</cp:coreProperties>
</file>