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hias.capdet\AppData\Local\_code\c-sharp\cpu-simple\docs\assets\other\"/>
    </mc:Choice>
  </mc:AlternateContent>
  <xr:revisionPtr revIDLastSave="0" documentId="13_ncr:1_{95639FC8-66C3-48DB-BA49-B73D3AFC4BB0}" xr6:coauthVersionLast="47" xr6:coauthVersionMax="47" xr10:uidLastSave="{00000000-0000-0000-0000-000000000000}"/>
  <bookViews>
    <workbookView xWindow="-108" yWindow="-108" windowWidth="23256" windowHeight="13896" xr2:uid="{627EB5EA-0153-408A-A67D-CE8ACF8A023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" l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N54" i="1" a="1"/>
  <c r="N54" i="1" s="1"/>
  <c r="N53" i="1" a="1"/>
  <c r="N53" i="1" s="1"/>
  <c r="N52" i="1" a="1"/>
  <c r="N52" i="1" s="1"/>
  <c r="N55" i="1" a="1"/>
  <c r="N55" i="1" s="1"/>
  <c r="N51" i="1" a="1"/>
  <c r="N51" i="1" s="1"/>
  <c r="N39" i="1" a="1"/>
  <c r="N39" i="1" s="1"/>
  <c r="N40" i="1" a="1"/>
  <c r="N40" i="1" s="1"/>
  <c r="N41" i="1" a="1"/>
  <c r="N41" i="1" s="1"/>
  <c r="N42" i="1" a="1"/>
  <c r="N42" i="1" s="1"/>
  <c r="N43" i="1" a="1"/>
  <c r="N43" i="1" s="1"/>
  <c r="N44" i="1" a="1"/>
  <c r="N44" i="1" s="1"/>
  <c r="N45" i="1" a="1"/>
  <c r="N45" i="1" s="1"/>
  <c r="N46" i="1" a="1"/>
  <c r="N46" i="1" s="1"/>
  <c r="N47" i="1" a="1"/>
  <c r="N47" i="1" s="1"/>
  <c r="N48" i="1" a="1"/>
  <c r="N48" i="1" s="1"/>
  <c r="N49" i="1" a="1"/>
  <c r="N49" i="1" s="1"/>
  <c r="N50" i="1" a="1"/>
  <c r="N50" i="1" s="1"/>
  <c r="N34" i="1" a="1"/>
  <c r="N34" i="1" s="1"/>
  <c r="N33" i="1" a="1"/>
  <c r="N33" i="1" s="1"/>
  <c r="N38" i="1" a="1"/>
  <c r="N38" i="1" s="1"/>
  <c r="N37" i="1" a="1"/>
  <c r="N37" i="1" s="1"/>
  <c r="N36" i="1" a="1"/>
  <c r="N36" i="1" s="1"/>
  <c r="N35" i="1" a="1"/>
  <c r="N35" i="1" s="1"/>
  <c r="N32" i="1" a="1"/>
  <c r="N32" i="1" s="1"/>
  <c r="N31" i="1" a="1"/>
  <c r="N31" i="1" s="1"/>
  <c r="N30" i="1" a="1"/>
  <c r="N30" i="1" s="1"/>
  <c r="N29" i="1" a="1"/>
  <c r="N29" i="1" s="1"/>
  <c r="N28" i="1" a="1"/>
  <c r="N28" i="1" s="1"/>
  <c r="N21" i="1" a="1"/>
  <c r="N21" i="1" s="1"/>
  <c r="N22" i="1" a="1"/>
  <c r="N22" i="1" s="1"/>
  <c r="N23" i="1" a="1"/>
  <c r="N23" i="1" s="1"/>
  <c r="N24" i="1" a="1"/>
  <c r="N24" i="1" s="1"/>
  <c r="N25" i="1" a="1"/>
  <c r="N25" i="1" s="1"/>
  <c r="N26" i="1" a="1"/>
  <c r="N26" i="1" s="1"/>
  <c r="N27" i="1" a="1"/>
  <c r="N27" i="1" s="1"/>
  <c r="N20" i="1" a="1"/>
  <c r="N20" i="1" s="1"/>
  <c r="N5" i="1" a="1"/>
  <c r="N5" i="1" s="1"/>
  <c r="N6" i="1" a="1"/>
  <c r="N6" i="1" s="1"/>
  <c r="N7" i="1" a="1"/>
  <c r="N7" i="1" s="1"/>
  <c r="N8" i="1" a="1"/>
  <c r="N8" i="1" s="1"/>
  <c r="N9" i="1" a="1"/>
  <c r="N9" i="1" s="1"/>
  <c r="N10" i="1" a="1"/>
  <c r="N10" i="1" s="1"/>
  <c r="N11" i="1" a="1"/>
  <c r="N11" i="1" s="1"/>
  <c r="N12" i="1" a="1"/>
  <c r="N12" i="1" s="1"/>
  <c r="N13" i="1" a="1"/>
  <c r="N13" i="1" s="1"/>
  <c r="N14" i="1" a="1"/>
  <c r="N14" i="1" s="1"/>
  <c r="N15" i="1" a="1"/>
  <c r="N15" i="1" s="1"/>
  <c r="N16" i="1" a="1"/>
  <c r="N16" i="1" s="1"/>
  <c r="N17" i="1" a="1"/>
  <c r="N17" i="1" s="1"/>
  <c r="N18" i="1" a="1"/>
  <c r="N18" i="1" s="1"/>
  <c r="N19" i="1" a="1"/>
  <c r="N19" i="1" s="1"/>
  <c r="N4" i="1" a="1"/>
  <c r="N4" i="1" s="1"/>
  <c r="M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<sst xmlns="http://schemas.openxmlformats.org/spreadsheetml/2006/main" count="222" uniqueCount="82">
  <si>
    <t>Byte 2</t>
  </si>
  <si>
    <t>Byte 1</t>
  </si>
  <si>
    <t>NOP</t>
  </si>
  <si>
    <t>HLT</t>
  </si>
  <si>
    <t>-</t>
  </si>
  <si>
    <t>RET</t>
  </si>
  <si>
    <t>CAL</t>
  </si>
  <si>
    <t>addr</t>
  </si>
  <si>
    <t>JMP</t>
  </si>
  <si>
    <t>JZS</t>
  </si>
  <si>
    <t>JZC</t>
  </si>
  <si>
    <t>JCS</t>
  </si>
  <si>
    <t>JCC</t>
  </si>
  <si>
    <t>Size</t>
  </si>
  <si>
    <t>CLC</t>
  </si>
  <si>
    <t>CLZ</t>
  </si>
  <si>
    <t>SEC</t>
  </si>
  <si>
    <t>SEZ</t>
  </si>
  <si>
    <t>LDI</t>
  </si>
  <si>
    <t>LDR</t>
  </si>
  <si>
    <t>rd</t>
  </si>
  <si>
    <t>rs</t>
  </si>
  <si>
    <t>POP</t>
  </si>
  <si>
    <t>imm</t>
  </si>
  <si>
    <t>LOAD</t>
  </si>
  <si>
    <t>carry</t>
  </si>
  <si>
    <t>clear</t>
  </si>
  <si>
    <t>set</t>
  </si>
  <si>
    <t>zero</t>
  </si>
  <si>
    <t>NA</t>
  </si>
  <si>
    <t>PUSH</t>
  </si>
  <si>
    <t>STORE</t>
  </si>
  <si>
    <t>MOV</t>
  </si>
  <si>
    <t>AND</t>
  </si>
  <si>
    <t>OR</t>
  </si>
  <si>
    <t>LSH</t>
  </si>
  <si>
    <t>RSH</t>
  </si>
  <si>
    <t>ADD</t>
  </si>
  <si>
    <t>SUB</t>
  </si>
  <si>
    <t>CMP</t>
  </si>
  <si>
    <t>ADI</t>
  </si>
  <si>
    <t>ADA</t>
  </si>
  <si>
    <t>SBI</t>
  </si>
  <si>
    <t>SBA</t>
  </si>
  <si>
    <t>INC</t>
  </si>
  <si>
    <t>DEC</t>
  </si>
  <si>
    <t>immediate</t>
  </si>
  <si>
    <t>absolute</t>
  </si>
  <si>
    <t>CPI</t>
  </si>
  <si>
    <t>CPA</t>
  </si>
  <si>
    <t>ANI</t>
  </si>
  <si>
    <t>ANA</t>
  </si>
  <si>
    <t>ORI</t>
  </si>
  <si>
    <t>ORA</t>
  </si>
  <si>
    <t>XRI</t>
  </si>
  <si>
    <t>XRA</t>
  </si>
  <si>
    <t>XOR</t>
  </si>
  <si>
    <t>Source register</t>
  </si>
  <si>
    <t>Destination register</t>
  </si>
  <si>
    <t>Reserved</t>
  </si>
  <si>
    <t>MOVE</t>
  </si>
  <si>
    <t>COMPARE</t>
  </si>
  <si>
    <t>JUMP</t>
  </si>
  <si>
    <t>SYSTEM</t>
  </si>
  <si>
    <t>SINGLE REGISTER ARITHMETIC</t>
  </si>
  <si>
    <t>MULTI REGISTER ARITHMETIC</t>
  </si>
  <si>
    <t>SINGLE REGISTER LOGIC I</t>
  </si>
  <si>
    <t>SINGLE REGISTER LOGIC II</t>
  </si>
  <si>
    <t>BIT TEST</t>
  </si>
  <si>
    <t>LRT</t>
  </si>
  <si>
    <t>RRT</t>
  </si>
  <si>
    <t>BITS MANIPULATION</t>
  </si>
  <si>
    <t>BTI</t>
  </si>
  <si>
    <t>BTA</t>
  </si>
  <si>
    <t>ATOMIC</t>
  </si>
  <si>
    <t>Color codes</t>
  </si>
  <si>
    <t>Mnemonic</t>
  </si>
  <si>
    <t>Opcode</t>
  </si>
  <si>
    <t>Group</t>
  </si>
  <si>
    <t>EXTENSION</t>
  </si>
  <si>
    <t>STR</t>
  </si>
  <si>
    <t>Implemented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</si>
</sst>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2" tint="-9.9978637043366805E-2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0" fillId="1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2" borderId="6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7" borderId="1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9" borderId="7" xfId="0" applyFill="1" applyBorder="1" applyAlignment="1">
      <alignment horizontal="center" vertical="center"/>
    </xf>
    <xf numFmtId="0" fontId="0" fillId="17" borderId="1" xfId="0" applyFill="1" applyBorder="1" applyAlignment="1">
      <alignment horizontal="center"/>
    </xf>
    <xf numFmtId="0" fontId="0" fillId="18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3" borderId="7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9" borderId="7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18" borderId="7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2" borderId="7" xfId="0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10" borderId="11" xfId="0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0" fillId="16" borderId="14" xfId="0" applyFill="1" applyBorder="1" applyAlignment="1">
      <alignment horizontal="center"/>
    </xf>
    <xf numFmtId="0" fontId="0" fillId="17" borderId="14" xfId="0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8" borderId="10" xfId="0" applyFill="1" applyBorder="1"/>
    <xf numFmtId="0" fontId="0" fillId="7" borderId="11" xfId="0" applyFill="1" applyBorder="1"/>
    <xf numFmtId="0" fontId="0" fillId="5" borderId="11" xfId="0" applyFill="1" applyBorder="1"/>
    <xf numFmtId="0" fontId="0" fillId="6" borderId="11" xfId="0" applyFill="1" applyBorder="1"/>
    <xf numFmtId="0" fontId="0" fillId="14" borderId="11" xfId="0" applyFill="1" applyBorder="1"/>
    <xf numFmtId="0" fontId="0" fillId="15" borderId="11" xfId="0" applyFill="1" applyBorder="1"/>
    <xf numFmtId="0" fontId="0" fillId="16" borderId="11" xfId="0" applyFill="1" applyBorder="1"/>
    <xf numFmtId="0" fontId="0" fillId="17" borderId="11" xfId="0" applyFill="1" applyBorder="1"/>
    <xf numFmtId="0" fontId="0" fillId="10" borderId="12" xfId="0" applyFill="1" applyBorder="1"/>
    <xf numFmtId="0" fontId="0" fillId="0" borderId="15" xfId="0" applyBorder="1"/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4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18" borderId="11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18" borderId="12" xfId="0" applyFill="1" applyBorder="1"/>
    <xf numFmtId="0" fontId="0" fillId="10" borderId="12" xfId="0" applyFill="1" applyBorder="1" applyAlignment="1">
      <alignment horizontal="center"/>
    </xf>
    <xf numFmtId="0" fontId="0" fillId="18" borderId="5" xfId="0" applyFill="1" applyBorder="1" applyAlignment="1">
      <alignment horizontal="center"/>
    </xf>
    <xf numFmtId="0" fontId="0" fillId="18" borderId="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9" borderId="11" xfId="0" applyFill="1" applyBorder="1" applyAlignment="1">
      <alignment horizontal="center" vertical="center" wrapText="1"/>
    </xf>
    <xf numFmtId="0" fontId="0" fillId="5" borderId="11" xfId="0" applyFill="1" applyBorder="1" applyAlignment="1">
      <alignment horizontal="center" vertical="center" wrapText="1"/>
    </xf>
    <xf numFmtId="0" fontId="0" fillId="11" borderId="11" xfId="0" applyFill="1" applyBorder="1" applyAlignment="1">
      <alignment horizontal="center" vertical="center" wrapText="1"/>
    </xf>
    <xf numFmtId="0" fontId="1" fillId="13" borderId="11" xfId="0" applyFont="1" applyFill="1" applyBorder="1" applyAlignment="1">
      <alignment horizontal="center" vertical="center" wrapText="1"/>
    </xf>
    <xf numFmtId="0" fontId="0" fillId="12" borderId="11" xfId="0" applyFill="1" applyBorder="1" applyAlignment="1">
      <alignment horizontal="center" vertical="center" wrapText="1"/>
    </xf>
    <xf numFmtId="0" fontId="0" fillId="4" borderId="11" xfId="0" applyFill="1" applyBorder="1" applyAlignment="1">
      <alignment horizontal="center" vertical="center" wrapText="1"/>
    </xf>
    <xf numFmtId="0" fontId="0" fillId="9" borderId="11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2" borderId="22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</cellXfs>
  <cellStyles count="1">
    <cellStyle name="Normal" xfId="0" builtinId="0"/>
  </cellStyles>
  <dxfs count="3"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</dxfs>
  <tableStyles count="0" defaultTableStyle="TableStyleMedium2" defaultPivotStyle="PivotStyleLight16"/>
  <colors>
    <mruColors>
      <color rgb="FFFF5050"/>
      <color rgb="FFFF66CC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0906C-64AD-4CED-BC8D-ADC11E443218}">
  <dimension ref="B1:R55"/>
  <sheetViews>
    <sheetView showGridLines="0" tabSelected="1" zoomScale="72" zoomScaleNormal="72" workbookViewId="0">
      <selection activeCell="T14" sqref="T14"/>
    </sheetView>
  </sheetViews>
  <sheetFormatPr defaultRowHeight="14.4" x14ac:dyDescent="0.3"/>
  <cols>
    <col min="1" max="1" width="4.5546875" customWidth="1"/>
    <col min="2" max="2" width="15" customWidth="1"/>
    <col min="3" max="3" width="10.5546875" customWidth="1"/>
    <col min="4" max="11" width="6.77734375" customWidth="1"/>
    <col min="12" max="12" width="7" customWidth="1"/>
    <col min="13" max="13" width="5.88671875" customWidth="1"/>
    <col min="15" max="15" width="1.88671875" customWidth="1"/>
    <col min="16" max="16" width="18.6640625" customWidth="1"/>
    <col min="17" max="17" width="2" customWidth="1"/>
    <col min="18" max="18" width="12" customWidth="1"/>
  </cols>
  <sheetData>
    <row r="1" spans="2:18" ht="15" thickBot="1" x14ac:dyDescent="0.35"/>
    <row r="2" spans="2:18" ht="15" thickBot="1" x14ac:dyDescent="0.35">
      <c r="D2" s="90" t="s">
        <v>1</v>
      </c>
      <c r="E2" s="91"/>
      <c r="F2" s="91"/>
      <c r="G2" s="91"/>
      <c r="H2" s="91"/>
      <c r="I2" s="91"/>
      <c r="J2" s="91"/>
      <c r="K2" s="92"/>
    </row>
    <row r="3" spans="2:18" ht="15" customHeight="1" thickBot="1" x14ac:dyDescent="0.35">
      <c r="B3" s="64" t="s">
        <v>78</v>
      </c>
      <c r="C3" s="65" t="s">
        <v>76</v>
      </c>
      <c r="D3" s="66">
        <v>7</v>
      </c>
      <c r="E3" s="67">
        <v>6</v>
      </c>
      <c r="F3" s="67">
        <v>5</v>
      </c>
      <c r="G3" s="67">
        <v>4</v>
      </c>
      <c r="H3" s="67">
        <v>3</v>
      </c>
      <c r="I3" s="67">
        <v>2</v>
      </c>
      <c r="J3" s="67">
        <v>1</v>
      </c>
      <c r="K3" s="67">
        <v>0</v>
      </c>
      <c r="L3" s="67" t="s">
        <v>0</v>
      </c>
      <c r="M3" s="67" t="s">
        <v>13</v>
      </c>
      <c r="N3" s="68" t="s">
        <v>77</v>
      </c>
      <c r="O3" s="43"/>
      <c r="P3" s="64" t="s">
        <v>75</v>
      </c>
      <c r="R3" s="64" t="s">
        <v>81</v>
      </c>
    </row>
    <row r="4" spans="2:18" ht="15" customHeight="1" x14ac:dyDescent="0.3">
      <c r="B4" s="93" t="s">
        <v>63</v>
      </c>
      <c r="C4" s="44" t="s">
        <v>2</v>
      </c>
      <c r="D4" s="6">
        <v>0</v>
      </c>
      <c r="E4" s="7">
        <v>0</v>
      </c>
      <c r="F4" s="7">
        <v>0</v>
      </c>
      <c r="G4" s="7">
        <v>0</v>
      </c>
      <c r="H4" s="7">
        <v>0</v>
      </c>
      <c r="I4" s="8">
        <v>0</v>
      </c>
      <c r="J4" s="8">
        <v>0</v>
      </c>
      <c r="K4" s="47">
        <v>0</v>
      </c>
      <c r="L4" s="44" t="s">
        <v>29</v>
      </c>
      <c r="M4" s="53">
        <f>IF(L4="NA",1,2)</f>
        <v>1</v>
      </c>
      <c r="N4" s="69" t="str" cm="1">
        <f t="array" ref="N4">DEC2HEX(SUMPRODUCT(D4:K4,2^($D$3:$K$3)),2)</f>
        <v>00</v>
      </c>
      <c r="O4" s="43"/>
      <c r="P4" s="55" t="s">
        <v>25</v>
      </c>
      <c r="R4" s="44">
        <v>1</v>
      </c>
    </row>
    <row r="5" spans="2:18" ht="15" customHeight="1" x14ac:dyDescent="0.3">
      <c r="B5" s="94"/>
      <c r="C5" s="45" t="s">
        <v>3</v>
      </c>
      <c r="D5" s="9">
        <v>0</v>
      </c>
      <c r="E5" s="10">
        <v>0</v>
      </c>
      <c r="F5" s="10">
        <v>0</v>
      </c>
      <c r="G5" s="10">
        <v>0</v>
      </c>
      <c r="H5" s="10">
        <v>0</v>
      </c>
      <c r="I5" s="11">
        <v>0</v>
      </c>
      <c r="J5" s="11">
        <v>0</v>
      </c>
      <c r="K5" s="48">
        <v>1</v>
      </c>
      <c r="L5" s="45" t="s">
        <v>29</v>
      </c>
      <c r="M5" s="54">
        <f t="shared" ref="M5:M55" si="0">IF(L5="NA",1,2)</f>
        <v>1</v>
      </c>
      <c r="N5" s="70" t="str" cm="1">
        <f t="array" ref="N5">DEC2HEX(SUMPRODUCT(D5:K5,2^($D$3:$K$3)),2)</f>
        <v>01</v>
      </c>
      <c r="O5" s="43"/>
      <c r="P5" s="56" t="s">
        <v>28</v>
      </c>
      <c r="R5" s="45">
        <v>1</v>
      </c>
    </row>
    <row r="6" spans="2:18" ht="15" customHeight="1" x14ac:dyDescent="0.3">
      <c r="B6" s="94"/>
      <c r="C6" s="45" t="s">
        <v>14</v>
      </c>
      <c r="D6" s="9">
        <v>0</v>
      </c>
      <c r="E6" s="10">
        <v>0</v>
      </c>
      <c r="F6" s="10">
        <v>0</v>
      </c>
      <c r="G6" s="10">
        <v>0</v>
      </c>
      <c r="H6" s="10">
        <v>0</v>
      </c>
      <c r="I6" s="12">
        <v>0</v>
      </c>
      <c r="J6" s="12">
        <v>1</v>
      </c>
      <c r="K6" s="49">
        <v>0</v>
      </c>
      <c r="L6" s="45" t="s">
        <v>29</v>
      </c>
      <c r="M6" s="54">
        <f t="shared" si="0"/>
        <v>1</v>
      </c>
      <c r="N6" s="70" t="str" cm="1">
        <f t="array" ref="N6">DEC2HEX(SUMPRODUCT(D6:K6,2^($D$3:$K$3)),2)</f>
        <v>02</v>
      </c>
      <c r="O6" s="43"/>
      <c r="P6" s="57" t="s">
        <v>26</v>
      </c>
      <c r="R6" s="45">
        <v>0</v>
      </c>
    </row>
    <row r="7" spans="2:18" ht="15" customHeight="1" x14ac:dyDescent="0.3">
      <c r="B7" s="94"/>
      <c r="C7" s="45" t="s">
        <v>16</v>
      </c>
      <c r="D7" s="9">
        <v>0</v>
      </c>
      <c r="E7" s="10">
        <v>0</v>
      </c>
      <c r="F7" s="10">
        <v>0</v>
      </c>
      <c r="G7" s="10">
        <v>0</v>
      </c>
      <c r="H7" s="10">
        <v>0</v>
      </c>
      <c r="I7" s="12">
        <v>0</v>
      </c>
      <c r="J7" s="12">
        <v>1</v>
      </c>
      <c r="K7" s="50">
        <v>1</v>
      </c>
      <c r="L7" s="45" t="s">
        <v>29</v>
      </c>
      <c r="M7" s="54">
        <f t="shared" si="0"/>
        <v>1</v>
      </c>
      <c r="N7" s="70" t="str" cm="1">
        <f t="array" ref="N7">DEC2HEX(SUMPRODUCT(D7:K7,2^($D$3:$K$3)),2)</f>
        <v>03</v>
      </c>
      <c r="O7" s="43"/>
      <c r="P7" s="58" t="s">
        <v>27</v>
      </c>
      <c r="R7" s="45">
        <v>0</v>
      </c>
    </row>
    <row r="8" spans="2:18" ht="15" customHeight="1" x14ac:dyDescent="0.3">
      <c r="B8" s="94"/>
      <c r="C8" s="45" t="s">
        <v>15</v>
      </c>
      <c r="D8" s="9">
        <v>0</v>
      </c>
      <c r="E8" s="10">
        <v>0</v>
      </c>
      <c r="F8" s="10">
        <v>0</v>
      </c>
      <c r="G8" s="10">
        <v>0</v>
      </c>
      <c r="H8" s="10">
        <v>0</v>
      </c>
      <c r="I8" s="14">
        <v>1</v>
      </c>
      <c r="J8" s="14">
        <v>0</v>
      </c>
      <c r="K8" s="49">
        <v>0</v>
      </c>
      <c r="L8" s="45" t="s">
        <v>29</v>
      </c>
      <c r="M8" s="54">
        <f t="shared" si="0"/>
        <v>1</v>
      </c>
      <c r="N8" s="70" t="str" cm="1">
        <f t="array" ref="N8">DEC2HEX(SUMPRODUCT(D8:K8,2^($D$3:$K$3)),2)</f>
        <v>04</v>
      </c>
      <c r="O8" s="43"/>
      <c r="P8" s="59" t="s">
        <v>46</v>
      </c>
      <c r="R8" s="45">
        <v>0</v>
      </c>
    </row>
    <row r="9" spans="2:18" ht="15" customHeight="1" x14ac:dyDescent="0.3">
      <c r="B9" s="94"/>
      <c r="C9" s="45" t="s">
        <v>17</v>
      </c>
      <c r="D9" s="9">
        <v>0</v>
      </c>
      <c r="E9" s="10">
        <v>0</v>
      </c>
      <c r="F9" s="10">
        <v>0</v>
      </c>
      <c r="G9" s="10">
        <v>0</v>
      </c>
      <c r="H9" s="10">
        <v>0</v>
      </c>
      <c r="I9" s="14">
        <v>1</v>
      </c>
      <c r="J9" s="14">
        <v>0</v>
      </c>
      <c r="K9" s="50">
        <v>1</v>
      </c>
      <c r="L9" s="45" t="s">
        <v>29</v>
      </c>
      <c r="M9" s="54">
        <f t="shared" si="0"/>
        <v>1</v>
      </c>
      <c r="N9" s="70" t="str" cm="1">
        <f t="array" ref="N9">DEC2HEX(SUMPRODUCT(D9:K9,2^($D$3:$K$3)),2)</f>
        <v>05</v>
      </c>
      <c r="O9" s="43"/>
      <c r="P9" s="60" t="s">
        <v>47</v>
      </c>
      <c r="R9" s="45">
        <v>0</v>
      </c>
    </row>
    <row r="10" spans="2:18" ht="15" customHeight="1" x14ac:dyDescent="0.3">
      <c r="B10" s="94"/>
      <c r="C10" s="46" t="s">
        <v>4</v>
      </c>
      <c r="D10" s="9">
        <v>0</v>
      </c>
      <c r="E10" s="10">
        <v>0</v>
      </c>
      <c r="F10" s="10">
        <v>0</v>
      </c>
      <c r="G10" s="10">
        <v>0</v>
      </c>
      <c r="H10" s="10">
        <v>0</v>
      </c>
      <c r="I10" s="11">
        <v>1</v>
      </c>
      <c r="J10" s="11">
        <v>1</v>
      </c>
      <c r="K10" s="48">
        <v>0</v>
      </c>
      <c r="L10" s="45" t="s">
        <v>29</v>
      </c>
      <c r="M10" s="54">
        <f t="shared" si="0"/>
        <v>1</v>
      </c>
      <c r="N10" s="70" t="str" cm="1">
        <f t="array" ref="N10">DEC2HEX(SUMPRODUCT(D10:K10,2^($D$3:$K$3)),2)</f>
        <v>06</v>
      </c>
      <c r="O10" s="43"/>
      <c r="P10" s="61" t="s">
        <v>58</v>
      </c>
      <c r="R10" s="46"/>
    </row>
    <row r="11" spans="2:18" ht="15" customHeight="1" x14ac:dyDescent="0.3">
      <c r="B11" s="94"/>
      <c r="C11" s="46" t="s">
        <v>4</v>
      </c>
      <c r="D11" s="9">
        <v>0</v>
      </c>
      <c r="E11" s="10">
        <v>0</v>
      </c>
      <c r="F11" s="10">
        <v>0</v>
      </c>
      <c r="G11" s="10">
        <v>0</v>
      </c>
      <c r="H11" s="10">
        <v>0</v>
      </c>
      <c r="I11" s="11">
        <v>1</v>
      </c>
      <c r="J11" s="11">
        <v>1</v>
      </c>
      <c r="K11" s="48">
        <v>1</v>
      </c>
      <c r="L11" s="45" t="s">
        <v>29</v>
      </c>
      <c r="M11" s="54">
        <f t="shared" si="0"/>
        <v>1</v>
      </c>
      <c r="N11" s="70" t="str" cm="1">
        <f t="array" ref="N11">DEC2HEX(SUMPRODUCT(D11:K11,2^($D$3:$K$3)),2)</f>
        <v>07</v>
      </c>
      <c r="O11" s="43"/>
      <c r="P11" s="62" t="s">
        <v>57</v>
      </c>
      <c r="R11" s="46"/>
    </row>
    <row r="12" spans="2:18" ht="15" customHeight="1" thickBot="1" x14ac:dyDescent="0.35">
      <c r="B12" s="95" t="s">
        <v>62</v>
      </c>
      <c r="C12" s="45" t="s">
        <v>8</v>
      </c>
      <c r="D12" s="15">
        <v>0</v>
      </c>
      <c r="E12" s="16">
        <v>0</v>
      </c>
      <c r="F12" s="16">
        <v>0</v>
      </c>
      <c r="G12" s="16">
        <v>0</v>
      </c>
      <c r="H12" s="16">
        <v>1</v>
      </c>
      <c r="I12" s="11">
        <v>0</v>
      </c>
      <c r="J12" s="11">
        <v>0</v>
      </c>
      <c r="K12" s="48">
        <v>0</v>
      </c>
      <c r="L12" s="45" t="s">
        <v>7</v>
      </c>
      <c r="M12" s="54">
        <f t="shared" si="0"/>
        <v>2</v>
      </c>
      <c r="N12" s="70" t="str" cm="1">
        <f t="array" ref="N12">DEC2HEX(SUMPRODUCT(D12:K12,2^($D$3:$K$3)),2)</f>
        <v>08</v>
      </c>
      <c r="O12" s="43"/>
      <c r="P12" s="63" t="s">
        <v>59</v>
      </c>
      <c r="R12" s="45">
        <v>0</v>
      </c>
    </row>
    <row r="13" spans="2:18" ht="15" customHeight="1" x14ac:dyDescent="0.3">
      <c r="B13" s="95"/>
      <c r="C13" s="46" t="s">
        <v>4</v>
      </c>
      <c r="D13" s="15">
        <v>0</v>
      </c>
      <c r="E13" s="16">
        <v>0</v>
      </c>
      <c r="F13" s="16">
        <v>0</v>
      </c>
      <c r="G13" s="16">
        <v>0</v>
      </c>
      <c r="H13" s="16">
        <v>1</v>
      </c>
      <c r="I13" s="11">
        <v>0</v>
      </c>
      <c r="J13" s="11">
        <v>0</v>
      </c>
      <c r="K13" s="48">
        <v>1</v>
      </c>
      <c r="L13" s="45" t="s">
        <v>7</v>
      </c>
      <c r="M13" s="54">
        <f t="shared" si="0"/>
        <v>2</v>
      </c>
      <c r="N13" s="70" t="str" cm="1">
        <f t="array" ref="N13">DEC2HEX(SUMPRODUCT(D13:K13,2^($D$3:$K$3)),2)</f>
        <v>09</v>
      </c>
      <c r="O13" s="43"/>
      <c r="R13" s="46"/>
    </row>
    <row r="14" spans="2:18" ht="15" customHeight="1" x14ac:dyDescent="0.3">
      <c r="B14" s="95"/>
      <c r="C14" s="45" t="s">
        <v>12</v>
      </c>
      <c r="D14" s="15">
        <v>0</v>
      </c>
      <c r="E14" s="16">
        <v>0</v>
      </c>
      <c r="F14" s="16">
        <v>0</v>
      </c>
      <c r="G14" s="16">
        <v>0</v>
      </c>
      <c r="H14" s="16">
        <v>1</v>
      </c>
      <c r="I14" s="12">
        <v>0</v>
      </c>
      <c r="J14" s="12">
        <v>1</v>
      </c>
      <c r="K14" s="49">
        <v>0</v>
      </c>
      <c r="L14" s="45" t="s">
        <v>7</v>
      </c>
      <c r="M14" s="54">
        <f t="shared" si="0"/>
        <v>2</v>
      </c>
      <c r="N14" s="70" t="str" cm="1">
        <f t="array" ref="N14">DEC2HEX(SUMPRODUCT(D14:K14,2^($D$3:$K$3)),2)</f>
        <v>0A</v>
      </c>
      <c r="O14" s="43"/>
      <c r="R14" s="45">
        <v>0</v>
      </c>
    </row>
    <row r="15" spans="2:18" ht="15" customHeight="1" x14ac:dyDescent="0.3">
      <c r="B15" s="95"/>
      <c r="C15" s="45" t="s">
        <v>11</v>
      </c>
      <c r="D15" s="15">
        <v>0</v>
      </c>
      <c r="E15" s="16">
        <v>0</v>
      </c>
      <c r="F15" s="16">
        <v>0</v>
      </c>
      <c r="G15" s="16">
        <v>0</v>
      </c>
      <c r="H15" s="16">
        <v>1</v>
      </c>
      <c r="I15" s="12">
        <v>0</v>
      </c>
      <c r="J15" s="12">
        <v>1</v>
      </c>
      <c r="K15" s="50">
        <v>1</v>
      </c>
      <c r="L15" s="45" t="s">
        <v>7</v>
      </c>
      <c r="M15" s="54">
        <f t="shared" si="0"/>
        <v>2</v>
      </c>
      <c r="N15" s="70" t="str" cm="1">
        <f t="array" ref="N15">DEC2HEX(SUMPRODUCT(D15:K15,2^($D$3:$K$3)),2)</f>
        <v>0B</v>
      </c>
      <c r="O15" s="43"/>
      <c r="R15" s="45">
        <v>0</v>
      </c>
    </row>
    <row r="16" spans="2:18" ht="15" customHeight="1" x14ac:dyDescent="0.3">
      <c r="B16" s="95"/>
      <c r="C16" s="45" t="s">
        <v>10</v>
      </c>
      <c r="D16" s="15">
        <v>0</v>
      </c>
      <c r="E16" s="16">
        <v>0</v>
      </c>
      <c r="F16" s="16">
        <v>0</v>
      </c>
      <c r="G16" s="16">
        <v>0</v>
      </c>
      <c r="H16" s="16">
        <v>1</v>
      </c>
      <c r="I16" s="14">
        <v>1</v>
      </c>
      <c r="J16" s="14">
        <v>0</v>
      </c>
      <c r="K16" s="49">
        <v>0</v>
      </c>
      <c r="L16" s="45" t="s">
        <v>7</v>
      </c>
      <c r="M16" s="54">
        <f t="shared" si="0"/>
        <v>2</v>
      </c>
      <c r="N16" s="70" t="str" cm="1">
        <f t="array" ref="N16">DEC2HEX(SUMPRODUCT(D16:K16,2^($D$3:$K$3)),2)</f>
        <v>0C</v>
      </c>
      <c r="O16" s="43"/>
      <c r="R16" s="45">
        <v>0</v>
      </c>
    </row>
    <row r="17" spans="2:18" ht="15" customHeight="1" x14ac:dyDescent="0.3">
      <c r="B17" s="95"/>
      <c r="C17" s="45" t="s">
        <v>9</v>
      </c>
      <c r="D17" s="15">
        <v>0</v>
      </c>
      <c r="E17" s="16">
        <v>0</v>
      </c>
      <c r="F17" s="16">
        <v>0</v>
      </c>
      <c r="G17" s="16">
        <v>0</v>
      </c>
      <c r="H17" s="16">
        <v>1</v>
      </c>
      <c r="I17" s="14">
        <v>1</v>
      </c>
      <c r="J17" s="14">
        <v>0</v>
      </c>
      <c r="K17" s="50">
        <v>1</v>
      </c>
      <c r="L17" s="45" t="s">
        <v>7</v>
      </c>
      <c r="M17" s="54">
        <f t="shared" si="0"/>
        <v>2</v>
      </c>
      <c r="N17" s="70" t="str" cm="1">
        <f t="array" ref="N17">DEC2HEX(SUMPRODUCT(D17:K17,2^($D$3:$K$3)),2)</f>
        <v>0D</v>
      </c>
      <c r="O17" s="43"/>
      <c r="R17" s="45">
        <v>0</v>
      </c>
    </row>
    <row r="18" spans="2:18" ht="15" customHeight="1" x14ac:dyDescent="0.3">
      <c r="B18" s="95"/>
      <c r="C18" s="45" t="s">
        <v>6</v>
      </c>
      <c r="D18" s="15">
        <v>0</v>
      </c>
      <c r="E18" s="16">
        <v>0</v>
      </c>
      <c r="F18" s="16">
        <v>0</v>
      </c>
      <c r="G18" s="16">
        <v>0</v>
      </c>
      <c r="H18" s="16">
        <v>1</v>
      </c>
      <c r="I18" s="11">
        <v>1</v>
      </c>
      <c r="J18" s="11">
        <v>1</v>
      </c>
      <c r="K18" s="48">
        <v>0</v>
      </c>
      <c r="L18" s="45" t="s">
        <v>7</v>
      </c>
      <c r="M18" s="54">
        <f t="shared" si="0"/>
        <v>2</v>
      </c>
      <c r="N18" s="70" t="str" cm="1">
        <f t="array" ref="N18">DEC2HEX(SUMPRODUCT(D18:K18,2^($D$3:$K$3)),2)</f>
        <v>0E</v>
      </c>
      <c r="O18" s="43"/>
      <c r="R18" s="45">
        <v>0</v>
      </c>
    </row>
    <row r="19" spans="2:18" ht="15" customHeight="1" x14ac:dyDescent="0.3">
      <c r="B19" s="95"/>
      <c r="C19" s="45" t="s">
        <v>5</v>
      </c>
      <c r="D19" s="15">
        <v>0</v>
      </c>
      <c r="E19" s="16">
        <v>0</v>
      </c>
      <c r="F19" s="16">
        <v>0</v>
      </c>
      <c r="G19" s="16">
        <v>0</v>
      </c>
      <c r="H19" s="16">
        <v>1</v>
      </c>
      <c r="I19" s="11">
        <v>1</v>
      </c>
      <c r="J19" s="11">
        <v>1</v>
      </c>
      <c r="K19" s="48">
        <v>1</v>
      </c>
      <c r="L19" s="45" t="s">
        <v>29</v>
      </c>
      <c r="M19" s="54">
        <f t="shared" si="0"/>
        <v>1</v>
      </c>
      <c r="N19" s="70" t="str" cm="1">
        <f t="array" ref="N19">DEC2HEX(SUMPRODUCT(D19:K19,2^($D$3:$K$3)),2)</f>
        <v>0F</v>
      </c>
      <c r="O19" s="43"/>
      <c r="R19" s="45">
        <v>0</v>
      </c>
    </row>
    <row r="20" spans="2:18" ht="15" customHeight="1" x14ac:dyDescent="0.3">
      <c r="B20" s="89" t="s">
        <v>24</v>
      </c>
      <c r="C20" s="45" t="s">
        <v>18</v>
      </c>
      <c r="D20" s="17">
        <v>0</v>
      </c>
      <c r="E20" s="3">
        <v>0</v>
      </c>
      <c r="F20" s="3">
        <v>0</v>
      </c>
      <c r="G20" s="3">
        <v>1</v>
      </c>
      <c r="H20" s="11">
        <v>0</v>
      </c>
      <c r="I20" s="18">
        <v>0</v>
      </c>
      <c r="J20" s="19" t="s">
        <v>20</v>
      </c>
      <c r="K20" s="51" t="s">
        <v>20</v>
      </c>
      <c r="L20" s="45" t="s">
        <v>23</v>
      </c>
      <c r="M20" s="54">
        <f t="shared" si="0"/>
        <v>2</v>
      </c>
      <c r="N20" s="70" t="str" cm="1">
        <f t="array" ref="N20">DEC2HEX(SUMPRODUCT(D20:K20,2^($D$3:$K$3)),2)</f>
        <v>10</v>
      </c>
      <c r="O20" s="43"/>
      <c r="R20" s="45">
        <v>1</v>
      </c>
    </row>
    <row r="21" spans="2:18" ht="15" customHeight="1" x14ac:dyDescent="0.3">
      <c r="B21" s="89"/>
      <c r="C21" s="45" t="s">
        <v>19</v>
      </c>
      <c r="D21" s="17">
        <v>0</v>
      </c>
      <c r="E21" s="3">
        <v>0</v>
      </c>
      <c r="F21" s="3">
        <v>0</v>
      </c>
      <c r="G21" s="3">
        <v>1</v>
      </c>
      <c r="H21" s="11">
        <v>0</v>
      </c>
      <c r="I21" s="20">
        <v>1</v>
      </c>
      <c r="J21" s="19" t="s">
        <v>20</v>
      </c>
      <c r="K21" s="51" t="s">
        <v>20</v>
      </c>
      <c r="L21" s="45" t="s">
        <v>7</v>
      </c>
      <c r="M21" s="54">
        <f t="shared" si="0"/>
        <v>2</v>
      </c>
      <c r="N21" s="70" t="str" cm="1">
        <f t="array" ref="N21">DEC2HEX(SUMPRODUCT(D21:K21,2^($D$3:$K$3)),2)</f>
        <v>14</v>
      </c>
      <c r="O21" s="43"/>
      <c r="R21" s="45">
        <v>1</v>
      </c>
    </row>
    <row r="22" spans="2:18" ht="15" customHeight="1" x14ac:dyDescent="0.3">
      <c r="B22" s="89"/>
      <c r="C22" s="45" t="s">
        <v>22</v>
      </c>
      <c r="D22" s="17">
        <v>0</v>
      </c>
      <c r="E22" s="3">
        <v>0</v>
      </c>
      <c r="F22" s="3">
        <v>0</v>
      </c>
      <c r="G22" s="3">
        <v>1</v>
      </c>
      <c r="H22" s="11">
        <v>1</v>
      </c>
      <c r="I22" s="11">
        <v>0</v>
      </c>
      <c r="J22" s="19" t="s">
        <v>20</v>
      </c>
      <c r="K22" s="51" t="s">
        <v>20</v>
      </c>
      <c r="L22" s="45" t="s">
        <v>29</v>
      </c>
      <c r="M22" s="54">
        <f t="shared" si="0"/>
        <v>1</v>
      </c>
      <c r="N22" s="70" t="str" cm="1">
        <f t="array" ref="N22">DEC2HEX(SUMPRODUCT(D22:K22,2^($D$3:$K$3)),2)</f>
        <v>18</v>
      </c>
      <c r="O22" s="43"/>
      <c r="R22" s="45">
        <v>0</v>
      </c>
    </row>
    <row r="23" spans="2:18" ht="15" customHeight="1" x14ac:dyDescent="0.3">
      <c r="B23" s="89"/>
      <c r="C23" s="46" t="s">
        <v>4</v>
      </c>
      <c r="D23" s="17">
        <v>0</v>
      </c>
      <c r="E23" s="3">
        <v>0</v>
      </c>
      <c r="F23" s="3">
        <v>0</v>
      </c>
      <c r="G23" s="3">
        <v>1</v>
      </c>
      <c r="H23" s="11">
        <v>1</v>
      </c>
      <c r="I23" s="11">
        <v>1</v>
      </c>
      <c r="J23" s="11" t="s">
        <v>4</v>
      </c>
      <c r="K23" s="48" t="s">
        <v>4</v>
      </c>
      <c r="L23" s="45" t="s">
        <v>29</v>
      </c>
      <c r="M23" s="54">
        <f t="shared" si="0"/>
        <v>1</v>
      </c>
      <c r="N23" s="70" t="str" cm="1">
        <f t="array" ref="N23">DEC2HEX(SUMPRODUCT(D23:K23,2^($D$3:$K$3)),2)</f>
        <v>1C</v>
      </c>
      <c r="O23" s="43"/>
      <c r="R23" s="46"/>
    </row>
    <row r="24" spans="2:18" ht="15" customHeight="1" x14ac:dyDescent="0.3">
      <c r="B24" s="88" t="s">
        <v>31</v>
      </c>
      <c r="C24" s="46" t="s">
        <v>4</v>
      </c>
      <c r="D24" s="21">
        <v>0</v>
      </c>
      <c r="E24" s="2">
        <v>0</v>
      </c>
      <c r="F24" s="2">
        <v>1</v>
      </c>
      <c r="G24" s="2">
        <v>0</v>
      </c>
      <c r="H24" s="11">
        <v>0</v>
      </c>
      <c r="I24" s="11">
        <v>0</v>
      </c>
      <c r="J24" s="11" t="s">
        <v>4</v>
      </c>
      <c r="K24" s="48" t="s">
        <v>4</v>
      </c>
      <c r="L24" s="45" t="s">
        <v>29</v>
      </c>
      <c r="M24" s="54">
        <f t="shared" si="0"/>
        <v>1</v>
      </c>
      <c r="N24" s="70" t="str" cm="1">
        <f t="array" ref="N24">DEC2HEX(SUMPRODUCT(D24:K24,2^($D$3:$K$3)),2)</f>
        <v>20</v>
      </c>
      <c r="O24" s="43"/>
      <c r="R24" s="46"/>
    </row>
    <row r="25" spans="2:18" ht="15" customHeight="1" x14ac:dyDescent="0.3">
      <c r="B25" s="88"/>
      <c r="C25" s="45" t="s">
        <v>80</v>
      </c>
      <c r="D25" s="21">
        <v>0</v>
      </c>
      <c r="E25" s="2">
        <v>0</v>
      </c>
      <c r="F25" s="2">
        <v>1</v>
      </c>
      <c r="G25" s="2">
        <v>0</v>
      </c>
      <c r="H25" s="11">
        <v>0</v>
      </c>
      <c r="I25" s="20">
        <v>1</v>
      </c>
      <c r="J25" s="22" t="s">
        <v>21</v>
      </c>
      <c r="K25" s="52" t="s">
        <v>21</v>
      </c>
      <c r="L25" s="45" t="s">
        <v>7</v>
      </c>
      <c r="M25" s="54">
        <f t="shared" si="0"/>
        <v>2</v>
      </c>
      <c r="N25" s="70" t="str" cm="1">
        <f t="array" ref="N25">DEC2HEX(SUMPRODUCT(D25:K25,2^($D$3:$K$3)),2)</f>
        <v>24</v>
      </c>
      <c r="O25" s="43"/>
      <c r="R25" s="45">
        <v>1</v>
      </c>
    </row>
    <row r="26" spans="2:18" ht="15" customHeight="1" x14ac:dyDescent="0.3">
      <c r="B26" s="88"/>
      <c r="C26" s="45" t="s">
        <v>30</v>
      </c>
      <c r="D26" s="21">
        <v>0</v>
      </c>
      <c r="E26" s="2">
        <v>0</v>
      </c>
      <c r="F26" s="2">
        <v>1</v>
      </c>
      <c r="G26" s="2">
        <v>0</v>
      </c>
      <c r="H26" s="11">
        <v>1</v>
      </c>
      <c r="I26" s="11">
        <v>0</v>
      </c>
      <c r="J26" s="22" t="s">
        <v>21</v>
      </c>
      <c r="K26" s="52" t="s">
        <v>21</v>
      </c>
      <c r="L26" s="45" t="s">
        <v>29</v>
      </c>
      <c r="M26" s="54">
        <f t="shared" si="0"/>
        <v>1</v>
      </c>
      <c r="N26" s="70" t="str" cm="1">
        <f t="array" ref="N26">DEC2HEX(SUMPRODUCT(D26:K26,2^($D$3:$K$3)),2)</f>
        <v>28</v>
      </c>
      <c r="O26" s="43"/>
      <c r="R26" s="45">
        <v>0</v>
      </c>
    </row>
    <row r="27" spans="2:18" ht="15" customHeight="1" x14ac:dyDescent="0.3">
      <c r="B27" s="88"/>
      <c r="C27" s="46" t="s">
        <v>4</v>
      </c>
      <c r="D27" s="21">
        <v>0</v>
      </c>
      <c r="E27" s="2">
        <v>0</v>
      </c>
      <c r="F27" s="2">
        <v>1</v>
      </c>
      <c r="G27" s="2">
        <v>0</v>
      </c>
      <c r="H27" s="11">
        <v>1</v>
      </c>
      <c r="I27" s="11">
        <v>1</v>
      </c>
      <c r="J27" s="11" t="s">
        <v>4</v>
      </c>
      <c r="K27" s="48" t="s">
        <v>4</v>
      </c>
      <c r="L27" s="45" t="s">
        <v>29</v>
      </c>
      <c r="M27" s="54">
        <f t="shared" si="0"/>
        <v>1</v>
      </c>
      <c r="N27" s="70" t="str" cm="1">
        <f t="array" ref="N27">DEC2HEX(SUMPRODUCT(D27:K27,2^($D$3:$K$3)),2)</f>
        <v>2C</v>
      </c>
      <c r="O27" s="43"/>
      <c r="R27" s="46"/>
    </row>
    <row r="28" spans="2:18" ht="15" customHeight="1" x14ac:dyDescent="0.3">
      <c r="B28" s="73" t="s">
        <v>60</v>
      </c>
      <c r="C28" s="45" t="s">
        <v>32</v>
      </c>
      <c r="D28" s="23">
        <v>0</v>
      </c>
      <c r="E28" s="1">
        <v>0</v>
      </c>
      <c r="F28" s="1">
        <v>1</v>
      </c>
      <c r="G28" s="1">
        <v>1</v>
      </c>
      <c r="H28" s="22" t="s">
        <v>21</v>
      </c>
      <c r="I28" s="22" t="s">
        <v>21</v>
      </c>
      <c r="J28" s="19" t="s">
        <v>20</v>
      </c>
      <c r="K28" s="51" t="s">
        <v>20</v>
      </c>
      <c r="L28" s="45" t="s">
        <v>29</v>
      </c>
      <c r="M28" s="54">
        <f t="shared" si="0"/>
        <v>1</v>
      </c>
      <c r="N28" s="70" t="str" cm="1">
        <f t="array" ref="N28">DEC2HEX(SUMPRODUCT(D28:K28,2^($D$3:$K$3)),2)</f>
        <v>30</v>
      </c>
      <c r="O28" s="43"/>
      <c r="R28" s="45">
        <v>1</v>
      </c>
    </row>
    <row r="29" spans="2:18" ht="15" customHeight="1" x14ac:dyDescent="0.3">
      <c r="B29" s="84" t="s">
        <v>64</v>
      </c>
      <c r="C29" s="45" t="s">
        <v>40</v>
      </c>
      <c r="D29" s="24">
        <v>0</v>
      </c>
      <c r="E29" s="25">
        <v>1</v>
      </c>
      <c r="F29" s="25">
        <v>0</v>
      </c>
      <c r="G29" s="25">
        <v>0</v>
      </c>
      <c r="H29" s="26">
        <v>0</v>
      </c>
      <c r="I29" s="27">
        <v>0</v>
      </c>
      <c r="J29" s="19" t="s">
        <v>20</v>
      </c>
      <c r="K29" s="51" t="s">
        <v>20</v>
      </c>
      <c r="L29" s="45" t="s">
        <v>23</v>
      </c>
      <c r="M29" s="54">
        <f t="shared" si="0"/>
        <v>2</v>
      </c>
      <c r="N29" s="70" t="str" cm="1">
        <f t="array" ref="N29">DEC2HEX(SUMPRODUCT(D29:K29,2^($D$3:$K$3)),2)</f>
        <v>40</v>
      </c>
      <c r="O29" s="43"/>
      <c r="R29" s="45">
        <v>1</v>
      </c>
    </row>
    <row r="30" spans="2:18" ht="15" customHeight="1" x14ac:dyDescent="0.3">
      <c r="B30" s="84"/>
      <c r="C30" s="45" t="s">
        <v>41</v>
      </c>
      <c r="D30" s="28">
        <v>0</v>
      </c>
      <c r="E30" s="29">
        <v>1</v>
      </c>
      <c r="F30" s="29">
        <v>0</v>
      </c>
      <c r="G30" s="29">
        <v>0</v>
      </c>
      <c r="H30" s="11">
        <v>0</v>
      </c>
      <c r="I30" s="20">
        <v>1</v>
      </c>
      <c r="J30" s="19" t="s">
        <v>20</v>
      </c>
      <c r="K30" s="51" t="s">
        <v>20</v>
      </c>
      <c r="L30" s="45" t="s">
        <v>7</v>
      </c>
      <c r="M30" s="54">
        <f t="shared" si="0"/>
        <v>2</v>
      </c>
      <c r="N30" s="70" t="str" cm="1">
        <f t="array" ref="N30">DEC2HEX(SUMPRODUCT(D30:K30,2^($D$3:$K$3)),2)</f>
        <v>44</v>
      </c>
      <c r="O30" s="43"/>
      <c r="R30" s="45">
        <v>0</v>
      </c>
    </row>
    <row r="31" spans="2:18" ht="15" customHeight="1" x14ac:dyDescent="0.3">
      <c r="B31" s="84"/>
      <c r="C31" s="45" t="s">
        <v>42</v>
      </c>
      <c r="D31" s="28">
        <v>0</v>
      </c>
      <c r="E31" s="29">
        <v>1</v>
      </c>
      <c r="F31" s="29">
        <v>0</v>
      </c>
      <c r="G31" s="29">
        <v>0</v>
      </c>
      <c r="H31" s="11">
        <v>1</v>
      </c>
      <c r="I31" s="18">
        <v>0</v>
      </c>
      <c r="J31" s="19" t="s">
        <v>20</v>
      </c>
      <c r="K31" s="51" t="s">
        <v>20</v>
      </c>
      <c r="L31" s="45" t="s">
        <v>23</v>
      </c>
      <c r="M31" s="54">
        <f t="shared" si="0"/>
        <v>2</v>
      </c>
      <c r="N31" s="70" t="str" cm="1">
        <f t="array" ref="N31">DEC2HEX(SUMPRODUCT(D31:K31,2^($D$3:$K$3)),2)</f>
        <v>48</v>
      </c>
      <c r="O31" s="43"/>
      <c r="R31" s="45">
        <v>0</v>
      </c>
    </row>
    <row r="32" spans="2:18" ht="15" customHeight="1" x14ac:dyDescent="0.3">
      <c r="B32" s="84"/>
      <c r="C32" s="45" t="s">
        <v>43</v>
      </c>
      <c r="D32" s="28">
        <v>0</v>
      </c>
      <c r="E32" s="29">
        <v>1</v>
      </c>
      <c r="F32" s="29">
        <v>0</v>
      </c>
      <c r="G32" s="29">
        <v>0</v>
      </c>
      <c r="H32" s="11">
        <v>1</v>
      </c>
      <c r="I32" s="20">
        <v>1</v>
      </c>
      <c r="J32" s="19" t="s">
        <v>20</v>
      </c>
      <c r="K32" s="51" t="s">
        <v>20</v>
      </c>
      <c r="L32" s="45" t="s">
        <v>7</v>
      </c>
      <c r="M32" s="54">
        <f t="shared" si="0"/>
        <v>2</v>
      </c>
      <c r="N32" s="70" t="str" cm="1">
        <f t="array" ref="N32">DEC2HEX(SUMPRODUCT(D32:K32,2^($D$3:$K$3)),2)</f>
        <v>4C</v>
      </c>
      <c r="O32" s="43"/>
      <c r="R32" s="45">
        <v>0</v>
      </c>
    </row>
    <row r="33" spans="2:18" ht="15" customHeight="1" x14ac:dyDescent="0.3">
      <c r="B33" s="85" t="s">
        <v>65</v>
      </c>
      <c r="C33" s="45" t="s">
        <v>37</v>
      </c>
      <c r="D33" s="30">
        <v>0</v>
      </c>
      <c r="E33" s="31">
        <v>1</v>
      </c>
      <c r="F33" s="31">
        <v>0</v>
      </c>
      <c r="G33" s="31">
        <v>1</v>
      </c>
      <c r="H33" s="22" t="s">
        <v>21</v>
      </c>
      <c r="I33" s="22" t="s">
        <v>21</v>
      </c>
      <c r="J33" s="19" t="s">
        <v>20</v>
      </c>
      <c r="K33" s="51" t="s">
        <v>20</v>
      </c>
      <c r="L33" s="45" t="s">
        <v>29</v>
      </c>
      <c r="M33" s="54">
        <f t="shared" si="0"/>
        <v>1</v>
      </c>
      <c r="N33" s="70" t="str" cm="1">
        <f t="array" ref="N33">DEC2HEX(SUMPRODUCT(D33:K33,2^($D$3:$K$3)),2)</f>
        <v>50</v>
      </c>
      <c r="O33" s="43"/>
      <c r="R33" s="45">
        <v>0</v>
      </c>
    </row>
    <row r="34" spans="2:18" ht="15" customHeight="1" x14ac:dyDescent="0.3">
      <c r="B34" s="85"/>
      <c r="C34" s="45" t="s">
        <v>38</v>
      </c>
      <c r="D34" s="30">
        <v>0</v>
      </c>
      <c r="E34" s="31">
        <v>1</v>
      </c>
      <c r="F34" s="31">
        <v>1</v>
      </c>
      <c r="G34" s="31">
        <v>0</v>
      </c>
      <c r="H34" s="22" t="s">
        <v>21</v>
      </c>
      <c r="I34" s="22" t="s">
        <v>21</v>
      </c>
      <c r="J34" s="19" t="s">
        <v>20</v>
      </c>
      <c r="K34" s="51" t="s">
        <v>20</v>
      </c>
      <c r="L34" s="45" t="s">
        <v>29</v>
      </c>
      <c r="M34" s="54">
        <f t="shared" si="0"/>
        <v>1</v>
      </c>
      <c r="N34" s="70" t="str" cm="1">
        <f t="array" ref="N34">DEC2HEX(SUMPRODUCT(D34:K34,2^($D$3:$K$3)),2)</f>
        <v>60</v>
      </c>
      <c r="O34" s="43"/>
      <c r="R34" s="45">
        <v>0</v>
      </c>
    </row>
    <row r="35" spans="2:18" ht="15" customHeight="1" x14ac:dyDescent="0.3">
      <c r="B35" s="86" t="s">
        <v>71</v>
      </c>
      <c r="C35" s="45" t="s">
        <v>35</v>
      </c>
      <c r="D35" s="32">
        <v>0</v>
      </c>
      <c r="E35" s="33">
        <v>1</v>
      </c>
      <c r="F35" s="33">
        <v>1</v>
      </c>
      <c r="G35" s="33">
        <v>1</v>
      </c>
      <c r="H35" s="26">
        <v>0</v>
      </c>
      <c r="I35" s="26">
        <v>0</v>
      </c>
      <c r="J35" s="19" t="s">
        <v>20</v>
      </c>
      <c r="K35" s="51" t="s">
        <v>20</v>
      </c>
      <c r="L35" s="45" t="s">
        <v>29</v>
      </c>
      <c r="M35" s="54">
        <f t="shared" si="0"/>
        <v>1</v>
      </c>
      <c r="N35" s="70" t="str" cm="1">
        <f t="array" ref="N35">DEC2HEX(SUMPRODUCT(D35:K35,2^($D$3:$K$3)),2)</f>
        <v>70</v>
      </c>
      <c r="O35" s="43"/>
      <c r="R35" s="45">
        <v>0</v>
      </c>
    </row>
    <row r="36" spans="2:18" ht="15" customHeight="1" x14ac:dyDescent="0.3">
      <c r="B36" s="86"/>
      <c r="C36" s="45" t="s">
        <v>36</v>
      </c>
      <c r="D36" s="32">
        <v>0</v>
      </c>
      <c r="E36" s="33">
        <v>1</v>
      </c>
      <c r="F36" s="33">
        <v>1</v>
      </c>
      <c r="G36" s="33">
        <v>1</v>
      </c>
      <c r="H36" s="11">
        <v>0</v>
      </c>
      <c r="I36" s="11">
        <v>1</v>
      </c>
      <c r="J36" s="19" t="s">
        <v>20</v>
      </c>
      <c r="K36" s="51" t="s">
        <v>20</v>
      </c>
      <c r="L36" s="45" t="s">
        <v>29</v>
      </c>
      <c r="M36" s="54">
        <f t="shared" si="0"/>
        <v>1</v>
      </c>
      <c r="N36" s="70" t="str" cm="1">
        <f t="array" ref="N36">DEC2HEX(SUMPRODUCT(D36:K36,2^($D$3:$K$3)),2)</f>
        <v>74</v>
      </c>
      <c r="O36" s="43"/>
      <c r="R36" s="45">
        <v>0</v>
      </c>
    </row>
    <row r="37" spans="2:18" ht="15" customHeight="1" x14ac:dyDescent="0.3">
      <c r="B37" s="86"/>
      <c r="C37" s="45" t="s">
        <v>69</v>
      </c>
      <c r="D37" s="32">
        <v>0</v>
      </c>
      <c r="E37" s="33">
        <v>1</v>
      </c>
      <c r="F37" s="33">
        <v>1</v>
      </c>
      <c r="G37" s="33">
        <v>1</v>
      </c>
      <c r="H37" s="11">
        <v>1</v>
      </c>
      <c r="I37" s="11">
        <v>0</v>
      </c>
      <c r="J37" s="19" t="s">
        <v>20</v>
      </c>
      <c r="K37" s="51" t="s">
        <v>20</v>
      </c>
      <c r="L37" s="45" t="s">
        <v>29</v>
      </c>
      <c r="M37" s="54">
        <f t="shared" si="0"/>
        <v>1</v>
      </c>
      <c r="N37" s="70" t="str" cm="1">
        <f t="array" ref="N37">DEC2HEX(SUMPRODUCT(D37:K37,2^($D$3:$K$3)),2)</f>
        <v>78</v>
      </c>
      <c r="O37" s="43"/>
      <c r="R37" s="45">
        <v>0</v>
      </c>
    </row>
    <row r="38" spans="2:18" ht="15" customHeight="1" x14ac:dyDescent="0.3">
      <c r="B38" s="86"/>
      <c r="C38" s="45" t="s">
        <v>70</v>
      </c>
      <c r="D38" s="32">
        <v>0</v>
      </c>
      <c r="E38" s="33">
        <v>1</v>
      </c>
      <c r="F38" s="33">
        <v>1</v>
      </c>
      <c r="G38" s="33">
        <v>1</v>
      </c>
      <c r="H38" s="11">
        <v>1</v>
      </c>
      <c r="I38" s="11">
        <v>1</v>
      </c>
      <c r="J38" s="19" t="s">
        <v>20</v>
      </c>
      <c r="K38" s="51" t="s">
        <v>20</v>
      </c>
      <c r="L38" s="45" t="s">
        <v>29</v>
      </c>
      <c r="M38" s="54">
        <f t="shared" si="0"/>
        <v>1</v>
      </c>
      <c r="N38" s="70" t="str" cm="1">
        <f t="array" ref="N38">DEC2HEX(SUMPRODUCT(D38:K38,2^($D$3:$K$3)),2)</f>
        <v>7C</v>
      </c>
      <c r="O38" s="43"/>
      <c r="R38" s="45">
        <v>0</v>
      </c>
    </row>
    <row r="39" spans="2:18" ht="15" customHeight="1" x14ac:dyDescent="0.3">
      <c r="B39" s="87" t="s">
        <v>66</v>
      </c>
      <c r="C39" s="45" t="s">
        <v>48</v>
      </c>
      <c r="D39" s="34">
        <v>1</v>
      </c>
      <c r="E39" s="35">
        <v>0</v>
      </c>
      <c r="F39" s="35">
        <v>0</v>
      </c>
      <c r="G39" s="35">
        <v>0</v>
      </c>
      <c r="H39" s="26">
        <v>0</v>
      </c>
      <c r="I39" s="27">
        <v>0</v>
      </c>
      <c r="J39" s="19" t="s">
        <v>20</v>
      </c>
      <c r="K39" s="51" t="s">
        <v>20</v>
      </c>
      <c r="L39" s="45" t="s">
        <v>23</v>
      </c>
      <c r="M39" s="54">
        <f t="shared" si="0"/>
        <v>2</v>
      </c>
      <c r="N39" s="70" t="str" cm="1">
        <f t="array" ref="N39">DEC2HEX(SUMPRODUCT(D39:K39,2^($D$3:$K$3)),2)</f>
        <v>80</v>
      </c>
      <c r="O39" s="43"/>
      <c r="R39" s="45">
        <v>0</v>
      </c>
    </row>
    <row r="40" spans="2:18" ht="15" customHeight="1" x14ac:dyDescent="0.3">
      <c r="B40" s="87"/>
      <c r="C40" s="45" t="s">
        <v>49</v>
      </c>
      <c r="D40" s="34">
        <v>1</v>
      </c>
      <c r="E40" s="35">
        <v>0</v>
      </c>
      <c r="F40" s="35">
        <v>0</v>
      </c>
      <c r="G40" s="35">
        <v>0</v>
      </c>
      <c r="H40" s="11">
        <v>0</v>
      </c>
      <c r="I40" s="20">
        <v>1</v>
      </c>
      <c r="J40" s="19" t="s">
        <v>20</v>
      </c>
      <c r="K40" s="51" t="s">
        <v>20</v>
      </c>
      <c r="L40" s="45" t="s">
        <v>7</v>
      </c>
      <c r="M40" s="54">
        <f t="shared" si="0"/>
        <v>2</v>
      </c>
      <c r="N40" s="70" t="str" cm="1">
        <f t="array" ref="N40">DEC2HEX(SUMPRODUCT(D40:K40,2^($D$3:$K$3)),2)</f>
        <v>84</v>
      </c>
      <c r="O40" s="43"/>
      <c r="R40" s="45">
        <v>0</v>
      </c>
    </row>
    <row r="41" spans="2:18" ht="15" customHeight="1" x14ac:dyDescent="0.3">
      <c r="B41" s="87"/>
      <c r="C41" s="45" t="s">
        <v>50</v>
      </c>
      <c r="D41" s="34">
        <v>1</v>
      </c>
      <c r="E41" s="35">
        <v>0</v>
      </c>
      <c r="F41" s="35">
        <v>0</v>
      </c>
      <c r="G41" s="35">
        <v>0</v>
      </c>
      <c r="H41" s="11">
        <v>1</v>
      </c>
      <c r="I41" s="18">
        <v>0</v>
      </c>
      <c r="J41" s="19" t="s">
        <v>20</v>
      </c>
      <c r="K41" s="51" t="s">
        <v>20</v>
      </c>
      <c r="L41" s="45" t="s">
        <v>23</v>
      </c>
      <c r="M41" s="54">
        <f t="shared" si="0"/>
        <v>2</v>
      </c>
      <c r="N41" s="70" t="str" cm="1">
        <f t="array" ref="N41">DEC2HEX(SUMPRODUCT(D41:K41,2^($D$3:$K$3)),2)</f>
        <v>88</v>
      </c>
      <c r="O41" s="43"/>
      <c r="R41" s="45">
        <v>0</v>
      </c>
    </row>
    <row r="42" spans="2:18" ht="15" customHeight="1" x14ac:dyDescent="0.3">
      <c r="B42" s="87"/>
      <c r="C42" s="45" t="s">
        <v>51</v>
      </c>
      <c r="D42" s="34">
        <v>1</v>
      </c>
      <c r="E42" s="35">
        <v>0</v>
      </c>
      <c r="F42" s="35">
        <v>0</v>
      </c>
      <c r="G42" s="35">
        <v>0</v>
      </c>
      <c r="H42" s="11">
        <v>1</v>
      </c>
      <c r="I42" s="20">
        <v>1</v>
      </c>
      <c r="J42" s="19" t="s">
        <v>20</v>
      </c>
      <c r="K42" s="51" t="s">
        <v>20</v>
      </c>
      <c r="L42" s="45" t="s">
        <v>7</v>
      </c>
      <c r="M42" s="54">
        <f t="shared" si="0"/>
        <v>2</v>
      </c>
      <c r="N42" s="70" t="str" cm="1">
        <f t="array" ref="N42">DEC2HEX(SUMPRODUCT(D42:K42,2^($D$3:$K$3)),2)</f>
        <v>8C</v>
      </c>
      <c r="O42" s="43"/>
      <c r="R42" s="45">
        <v>0</v>
      </c>
    </row>
    <row r="43" spans="2:18" ht="15" customHeight="1" x14ac:dyDescent="0.3">
      <c r="B43" s="72" t="s">
        <v>61</v>
      </c>
      <c r="C43" s="45" t="s">
        <v>39</v>
      </c>
      <c r="D43" s="36">
        <v>1</v>
      </c>
      <c r="E43" s="37">
        <v>0</v>
      </c>
      <c r="F43" s="37">
        <v>0</v>
      </c>
      <c r="G43" s="37">
        <v>1</v>
      </c>
      <c r="H43" s="22" t="s">
        <v>21</v>
      </c>
      <c r="I43" s="22" t="s">
        <v>21</v>
      </c>
      <c r="J43" s="19" t="s">
        <v>20</v>
      </c>
      <c r="K43" s="51" t="s">
        <v>20</v>
      </c>
      <c r="L43" s="45" t="s">
        <v>29</v>
      </c>
      <c r="M43" s="54">
        <f t="shared" si="0"/>
        <v>1</v>
      </c>
      <c r="N43" s="70" t="str" cm="1">
        <f t="array" ref="N43">DEC2HEX(SUMPRODUCT(D43:K43,2^($D$3:$K$3)),2)</f>
        <v>90</v>
      </c>
      <c r="O43" s="43"/>
      <c r="R43" s="45">
        <v>0</v>
      </c>
    </row>
    <row r="44" spans="2:18" ht="15" customHeight="1" x14ac:dyDescent="0.3">
      <c r="B44" s="73" t="s">
        <v>33</v>
      </c>
      <c r="C44" s="45" t="s">
        <v>33</v>
      </c>
      <c r="D44" s="38">
        <v>1</v>
      </c>
      <c r="E44" s="39">
        <v>0</v>
      </c>
      <c r="F44" s="39">
        <v>1</v>
      </c>
      <c r="G44" s="39">
        <v>0</v>
      </c>
      <c r="H44" s="22" t="s">
        <v>21</v>
      </c>
      <c r="I44" s="22" t="s">
        <v>21</v>
      </c>
      <c r="J44" s="19" t="s">
        <v>20</v>
      </c>
      <c r="K44" s="51" t="s">
        <v>20</v>
      </c>
      <c r="L44" s="45" t="s">
        <v>29</v>
      </c>
      <c r="M44" s="54">
        <f t="shared" si="0"/>
        <v>1</v>
      </c>
      <c r="N44" s="70" t="str" cm="1">
        <f t="array" ref="N44">DEC2HEX(SUMPRODUCT(D44:K44,2^($D$3:$K$3)),2)</f>
        <v>A0</v>
      </c>
      <c r="O44" s="43"/>
      <c r="R44" s="45">
        <v>0</v>
      </c>
    </row>
    <row r="45" spans="2:18" ht="15" customHeight="1" x14ac:dyDescent="0.3">
      <c r="B45" s="84" t="s">
        <v>67</v>
      </c>
      <c r="C45" s="45" t="s">
        <v>52</v>
      </c>
      <c r="D45" s="28">
        <v>1</v>
      </c>
      <c r="E45" s="29">
        <v>0</v>
      </c>
      <c r="F45" s="29">
        <v>1</v>
      </c>
      <c r="G45" s="29">
        <v>1</v>
      </c>
      <c r="H45" s="26">
        <v>0</v>
      </c>
      <c r="I45" s="27">
        <v>0</v>
      </c>
      <c r="J45" s="19" t="s">
        <v>20</v>
      </c>
      <c r="K45" s="51" t="s">
        <v>20</v>
      </c>
      <c r="L45" s="45" t="s">
        <v>23</v>
      </c>
      <c r="M45" s="54">
        <f t="shared" si="0"/>
        <v>2</v>
      </c>
      <c r="N45" s="70" t="str" cm="1">
        <f t="array" ref="N45">DEC2HEX(SUMPRODUCT(D45:K45,2^($D$3:$K$3)),2)</f>
        <v>B0</v>
      </c>
      <c r="O45" s="43"/>
      <c r="R45" s="45">
        <v>0</v>
      </c>
    </row>
    <row r="46" spans="2:18" ht="15" customHeight="1" x14ac:dyDescent="0.3">
      <c r="B46" s="84"/>
      <c r="C46" s="45" t="s">
        <v>53</v>
      </c>
      <c r="D46" s="28">
        <v>1</v>
      </c>
      <c r="E46" s="29">
        <v>0</v>
      </c>
      <c r="F46" s="29">
        <v>1</v>
      </c>
      <c r="G46" s="29">
        <v>1</v>
      </c>
      <c r="H46" s="11">
        <v>0</v>
      </c>
      <c r="I46" s="20">
        <v>1</v>
      </c>
      <c r="J46" s="19" t="s">
        <v>20</v>
      </c>
      <c r="K46" s="51" t="s">
        <v>20</v>
      </c>
      <c r="L46" s="45" t="s">
        <v>7</v>
      </c>
      <c r="M46" s="54">
        <f t="shared" si="0"/>
        <v>2</v>
      </c>
      <c r="N46" s="70" t="str" cm="1">
        <f t="array" ref="N46">DEC2HEX(SUMPRODUCT(D46:K46,2^($D$3:$K$3)),2)</f>
        <v>B4</v>
      </c>
      <c r="O46" s="43"/>
      <c r="R46" s="45">
        <v>0</v>
      </c>
    </row>
    <row r="47" spans="2:18" ht="15" customHeight="1" x14ac:dyDescent="0.3">
      <c r="B47" s="84"/>
      <c r="C47" s="45" t="s">
        <v>54</v>
      </c>
      <c r="D47" s="28">
        <v>1</v>
      </c>
      <c r="E47" s="29">
        <v>0</v>
      </c>
      <c r="F47" s="29">
        <v>1</v>
      </c>
      <c r="G47" s="29">
        <v>1</v>
      </c>
      <c r="H47" s="11">
        <v>1</v>
      </c>
      <c r="I47" s="18">
        <v>0</v>
      </c>
      <c r="J47" s="19" t="s">
        <v>20</v>
      </c>
      <c r="K47" s="51" t="s">
        <v>20</v>
      </c>
      <c r="L47" s="45" t="s">
        <v>23</v>
      </c>
      <c r="M47" s="54">
        <f t="shared" si="0"/>
        <v>2</v>
      </c>
      <c r="N47" s="70" t="str" cm="1">
        <f t="array" ref="N47">DEC2HEX(SUMPRODUCT(D47:K47,2^($D$3:$K$3)),2)</f>
        <v>B8</v>
      </c>
      <c r="O47" s="43"/>
      <c r="R47" s="45">
        <v>0</v>
      </c>
    </row>
    <row r="48" spans="2:18" ht="15" customHeight="1" x14ac:dyDescent="0.3">
      <c r="B48" s="84"/>
      <c r="C48" s="45" t="s">
        <v>55</v>
      </c>
      <c r="D48" s="28">
        <v>1</v>
      </c>
      <c r="E48" s="29">
        <v>0</v>
      </c>
      <c r="F48" s="29">
        <v>1</v>
      </c>
      <c r="G48" s="29">
        <v>1</v>
      </c>
      <c r="H48" s="11">
        <v>1</v>
      </c>
      <c r="I48" s="20">
        <v>1</v>
      </c>
      <c r="J48" s="19" t="s">
        <v>20</v>
      </c>
      <c r="K48" s="51" t="s">
        <v>20</v>
      </c>
      <c r="L48" s="45" t="s">
        <v>7</v>
      </c>
      <c r="M48" s="54">
        <f t="shared" si="0"/>
        <v>2</v>
      </c>
      <c r="N48" s="70" t="str" cm="1">
        <f t="array" ref="N48">DEC2HEX(SUMPRODUCT(D48:K48,2^($D$3:$K$3)),2)</f>
        <v>BC</v>
      </c>
      <c r="O48" s="43"/>
      <c r="R48" s="45">
        <v>0</v>
      </c>
    </row>
    <row r="49" spans="2:18" ht="15" customHeight="1" x14ac:dyDescent="0.3">
      <c r="B49" s="74" t="s">
        <v>34</v>
      </c>
      <c r="C49" s="45" t="s">
        <v>34</v>
      </c>
      <c r="D49" s="40">
        <v>1</v>
      </c>
      <c r="E49" s="41">
        <v>1</v>
      </c>
      <c r="F49" s="41">
        <v>0</v>
      </c>
      <c r="G49" s="41">
        <v>0</v>
      </c>
      <c r="H49" s="22" t="s">
        <v>21</v>
      </c>
      <c r="I49" s="22" t="s">
        <v>21</v>
      </c>
      <c r="J49" s="19" t="s">
        <v>20</v>
      </c>
      <c r="K49" s="51" t="s">
        <v>20</v>
      </c>
      <c r="L49" s="45" t="s">
        <v>29</v>
      </c>
      <c r="M49" s="54">
        <f t="shared" si="0"/>
        <v>1</v>
      </c>
      <c r="N49" s="70" t="str" cm="1">
        <f t="array" ref="N49">DEC2HEX(SUMPRODUCT(D49:K49,2^($D$3:$K$3)),2)</f>
        <v>C0</v>
      </c>
      <c r="O49" s="43"/>
      <c r="R49" s="45">
        <v>0</v>
      </c>
    </row>
    <row r="50" spans="2:18" ht="15" customHeight="1" x14ac:dyDescent="0.3">
      <c r="B50" s="71" t="s">
        <v>56</v>
      </c>
      <c r="C50" s="45" t="s">
        <v>56</v>
      </c>
      <c r="D50" s="34">
        <v>1</v>
      </c>
      <c r="E50" s="35">
        <v>1</v>
      </c>
      <c r="F50" s="35">
        <v>0</v>
      </c>
      <c r="G50" s="35">
        <v>1</v>
      </c>
      <c r="H50" s="22" t="s">
        <v>21</v>
      </c>
      <c r="I50" s="22" t="s">
        <v>21</v>
      </c>
      <c r="J50" s="19" t="s">
        <v>20</v>
      </c>
      <c r="K50" s="51" t="s">
        <v>20</v>
      </c>
      <c r="L50" s="45" t="s">
        <v>29</v>
      </c>
      <c r="M50" s="54">
        <f t="shared" si="0"/>
        <v>1</v>
      </c>
      <c r="N50" s="70" t="str" cm="1">
        <f t="array" ref="N50">DEC2HEX(SUMPRODUCT(D50:K50,2^($D$3:$K$3)),2)</f>
        <v>D0</v>
      </c>
      <c r="O50" s="43"/>
      <c r="R50" s="45">
        <v>0</v>
      </c>
    </row>
    <row r="51" spans="2:18" ht="15" customHeight="1" x14ac:dyDescent="0.3">
      <c r="B51" s="82" t="s">
        <v>74</v>
      </c>
      <c r="C51" s="45" t="s">
        <v>44</v>
      </c>
      <c r="D51" s="36">
        <v>1</v>
      </c>
      <c r="E51" s="37">
        <v>1</v>
      </c>
      <c r="F51" s="37">
        <v>1</v>
      </c>
      <c r="G51" s="37">
        <v>0</v>
      </c>
      <c r="H51" s="37">
        <v>0</v>
      </c>
      <c r="I51" s="11">
        <v>0</v>
      </c>
      <c r="J51" s="19" t="s">
        <v>20</v>
      </c>
      <c r="K51" s="51" t="s">
        <v>20</v>
      </c>
      <c r="L51" s="45" t="s">
        <v>29</v>
      </c>
      <c r="M51" s="54">
        <f t="shared" si="0"/>
        <v>1</v>
      </c>
      <c r="N51" s="70" t="str" cm="1">
        <f t="array" ref="N51">DEC2HEX(SUMPRODUCT(D51:K51,2^($D$3:$K$3)),2)</f>
        <v>E0</v>
      </c>
      <c r="O51" s="43"/>
      <c r="R51" s="45">
        <v>0</v>
      </c>
    </row>
    <row r="52" spans="2:18" ht="15" customHeight="1" x14ac:dyDescent="0.3">
      <c r="B52" s="82"/>
      <c r="C52" s="45" t="s">
        <v>45</v>
      </c>
      <c r="D52" s="36">
        <v>1</v>
      </c>
      <c r="E52" s="37">
        <v>1</v>
      </c>
      <c r="F52" s="37">
        <v>1</v>
      </c>
      <c r="G52" s="37">
        <v>0</v>
      </c>
      <c r="H52" s="37">
        <v>0</v>
      </c>
      <c r="I52" s="11">
        <v>1</v>
      </c>
      <c r="J52" s="19" t="s">
        <v>20</v>
      </c>
      <c r="K52" s="51" t="s">
        <v>20</v>
      </c>
      <c r="L52" s="45" t="s">
        <v>29</v>
      </c>
      <c r="M52" s="54">
        <f t="shared" si="0"/>
        <v>1</v>
      </c>
      <c r="N52" s="70" t="str" cm="1">
        <f t="array" ref="N52">DEC2HEX(SUMPRODUCT(D52:K52,2^($D$3:$K$3)),2)</f>
        <v>E4</v>
      </c>
      <c r="O52" s="43"/>
      <c r="R52" s="45">
        <v>0</v>
      </c>
    </row>
    <row r="53" spans="2:18" ht="15" customHeight="1" x14ac:dyDescent="0.3">
      <c r="B53" s="83" t="s">
        <v>68</v>
      </c>
      <c r="C53" s="45" t="s">
        <v>72</v>
      </c>
      <c r="D53" s="42">
        <v>1</v>
      </c>
      <c r="E53" s="13">
        <v>1</v>
      </c>
      <c r="F53" s="13">
        <v>1</v>
      </c>
      <c r="G53" s="13">
        <v>0</v>
      </c>
      <c r="H53" s="13">
        <v>1</v>
      </c>
      <c r="I53" s="18">
        <v>0</v>
      </c>
      <c r="J53" s="19" t="s">
        <v>20</v>
      </c>
      <c r="K53" s="51" t="s">
        <v>20</v>
      </c>
      <c r="L53" s="45" t="s">
        <v>23</v>
      </c>
      <c r="M53" s="54">
        <f t="shared" si="0"/>
        <v>2</v>
      </c>
      <c r="N53" s="70" t="str" cm="1">
        <f t="array" ref="N53">DEC2HEX(SUMPRODUCT(D53:K53,2^($D$3:$K$3)),2)</f>
        <v>E8</v>
      </c>
      <c r="O53" s="43"/>
      <c r="R53" s="45">
        <v>0</v>
      </c>
    </row>
    <row r="54" spans="2:18" ht="15" customHeight="1" x14ac:dyDescent="0.3">
      <c r="B54" s="83"/>
      <c r="C54" s="45" t="s">
        <v>73</v>
      </c>
      <c r="D54" s="42">
        <v>1</v>
      </c>
      <c r="E54" s="13">
        <v>1</v>
      </c>
      <c r="F54" s="13">
        <v>1</v>
      </c>
      <c r="G54" s="13">
        <v>0</v>
      </c>
      <c r="H54" s="13">
        <v>1</v>
      </c>
      <c r="I54" s="20">
        <v>1</v>
      </c>
      <c r="J54" s="19" t="s">
        <v>20</v>
      </c>
      <c r="K54" s="51" t="s">
        <v>20</v>
      </c>
      <c r="L54" s="45" t="s">
        <v>7</v>
      </c>
      <c r="M54" s="54">
        <f t="shared" si="0"/>
        <v>2</v>
      </c>
      <c r="N54" s="70" t="str" cm="1">
        <f t="array" ref="N54">DEC2HEX(SUMPRODUCT(D54:K54,2^($D$3:$K$3)),2)</f>
        <v>EC</v>
      </c>
      <c r="O54" s="43"/>
      <c r="R54" s="45">
        <v>0</v>
      </c>
    </row>
    <row r="55" spans="2:18" ht="15" customHeight="1" thickBot="1" x14ac:dyDescent="0.35">
      <c r="B55" s="75" t="s">
        <v>79</v>
      </c>
      <c r="C55" s="76" t="s">
        <v>4</v>
      </c>
      <c r="D55" s="77">
        <v>1</v>
      </c>
      <c r="E55" s="78">
        <v>1</v>
      </c>
      <c r="F55" s="78">
        <v>1</v>
      </c>
      <c r="G55" s="78">
        <v>1</v>
      </c>
      <c r="H55" s="5">
        <v>0</v>
      </c>
      <c r="I55" s="5">
        <v>0</v>
      </c>
      <c r="J55" s="5">
        <v>0</v>
      </c>
      <c r="K55" s="79">
        <v>0</v>
      </c>
      <c r="L55" s="80" t="s">
        <v>29</v>
      </c>
      <c r="M55" s="4">
        <f t="shared" si="0"/>
        <v>1</v>
      </c>
      <c r="N55" s="81" t="str" cm="1">
        <f t="array" ref="N55">DEC2HEX(SUMPRODUCT(D55:K55,2^($D$3:$K$3)),2)</f>
        <v>F0</v>
      </c>
      <c r="O55" s="43"/>
      <c r="R55" s="76"/>
    </row>
  </sheetData>
  <mergeCells count="12">
    <mergeCell ref="B24:B27"/>
    <mergeCell ref="B20:B23"/>
    <mergeCell ref="D2:K2"/>
    <mergeCell ref="B4:B11"/>
    <mergeCell ref="B12:B19"/>
    <mergeCell ref="B51:B52"/>
    <mergeCell ref="B53:B54"/>
    <mergeCell ref="B29:B32"/>
    <mergeCell ref="B33:B34"/>
    <mergeCell ref="B35:B38"/>
    <mergeCell ref="B39:B42"/>
    <mergeCell ref="B45:B48"/>
  </mergeCells>
  <conditionalFormatting sqref="L4:L55">
    <cfRule type="containsText" dxfId="1" priority="2" operator="containsText" text="NA">
      <formula>NOT(ISERROR(SEARCH("NA",L4)))</formula>
    </cfRule>
  </conditionalFormatting>
  <conditionalFormatting sqref="R4:R55">
    <cfRule type="colorScale" priority="1">
      <colorScale>
        <cfvo type="num" val="0"/>
        <cfvo type="num" val="1"/>
        <color rgb="FFFF5050"/>
        <color theme="9" tint="0.59999389629810485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Mathias Capdet</dc:creator>
  <cp:lastModifiedBy>Mathias Capdet</cp:lastModifiedBy>
  <dcterms:created xsi:type="dcterms:W3CDTF">2025-12-14T20:21:14Z</dcterms:created>
  <dcterms:modified xsi:type="dcterms:W3CDTF">2025-12-17T19:54:10Z</dcterms:modified>
</cp:coreProperties>
</file>